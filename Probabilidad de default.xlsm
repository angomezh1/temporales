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és\VARIOS PERSONALES\CARRERA PROFESIONAL\BANCOLOMBIA 2019\ARCHIVOS CÁLCULOS\"/>
    </mc:Choice>
  </mc:AlternateContent>
  <xr:revisionPtr revIDLastSave="0" documentId="13_ncr:1_{69F79643-DB15-4A4F-BD24-D667365DD0BC}" xr6:coauthVersionLast="44" xr6:coauthVersionMax="44" xr10:uidLastSave="{00000000-0000-0000-0000-000000000000}"/>
  <bookViews>
    <workbookView xWindow="-120" yWindow="-120" windowWidth="20730" windowHeight="11160" activeTab="2" xr2:uid="{4D92356F-F662-4159-B9C1-895592F53308}"/>
  </bookViews>
  <sheets>
    <sheet name="DATOS" sheetId="1" r:id="rId1"/>
    <sheet name="CDS" sheetId="2" r:id="rId2"/>
    <sheet name="OIS" sheetId="3" r:id="rId3"/>
  </sheets>
  <functionGroups builtInGroupCount="19"/>
  <externalReferences>
    <externalReference r:id="rId4"/>
    <externalReference r:id="rId5"/>
    <externalReference r:id="rId6"/>
    <externalReference r:id="rId7"/>
  </externalReferences>
  <definedNames>
    <definedName name="As_of_date">DATOS!$B$4</definedName>
    <definedName name="CFLOW1" localSheetId="1">CDS!$J$3:$J$44</definedName>
    <definedName name="CFLOW1" localSheetId="2">OIS!$H$3:$H$65</definedName>
    <definedName name="CFLOW10" localSheetId="2">OIS!$Q$3:$Q$65</definedName>
    <definedName name="CFLOW11" localSheetId="2">OIS!$R$3:$R$65</definedName>
    <definedName name="CFLOW12" localSheetId="2">OIS!$S$3:$S$65</definedName>
    <definedName name="CFLOW13" localSheetId="2">OIS!$T$3:$T$65</definedName>
    <definedName name="CFLOW14" localSheetId="2">OIS!$U$3:$U$65</definedName>
    <definedName name="CFLOW15" localSheetId="2">OIS!$V$3:$V$65</definedName>
    <definedName name="CFLOW16" localSheetId="2">OIS!$W$3:$W$65</definedName>
    <definedName name="CFLOW17" localSheetId="2">OIS!$X$3:$X$65</definedName>
    <definedName name="CFLOW18" localSheetId="2">OIS!$Y$3:$Y$65</definedName>
    <definedName name="CFLOW2" localSheetId="1">CDS!$K$3:$K$44</definedName>
    <definedName name="CFLOW2" localSheetId="2">OIS!$I$3:$I$65</definedName>
    <definedName name="CFLOW3" localSheetId="1">CDS!$L$3:$L$44</definedName>
    <definedName name="CFLOW3" localSheetId="2">OIS!$J$3:$J$65</definedName>
    <definedName name="CFLOW4" localSheetId="1">CDS!$M$3:$M$44</definedName>
    <definedName name="CFLOW4" localSheetId="2">OIS!$K$3:$K$65</definedName>
    <definedName name="CFLOW5" localSheetId="1">CDS!$N$3:$N$44</definedName>
    <definedName name="CFLOW5" localSheetId="2">OIS!$L$3:$L$65</definedName>
    <definedName name="CFLOW6" localSheetId="2">OIS!$M$3:$M$65</definedName>
    <definedName name="CFLOW7" localSheetId="2">OIS!$N$3:$N$65</definedName>
    <definedName name="CFLOW8" localSheetId="2">OIS!$O$3:$O$65</definedName>
    <definedName name="CFLOW9" localSheetId="2">OIS!$P$3:$P$65</definedName>
    <definedName name="coupon1">'[1]Treasury Bond Pricing'!$H$24</definedName>
    <definedName name="coupon1_IBR">DATOS!$D$5</definedName>
    <definedName name="coupon1_LIBOR">DATOS!$E$5</definedName>
    <definedName name="coupon1_OISUSD">[2]DATOS!$Q$5</definedName>
    <definedName name="coupon10_OISUSD">[2]DATOS!$Q$14</definedName>
    <definedName name="coupon11_OISUSD">[2]DATOS!$Q$15</definedName>
    <definedName name="coupon11_UVR">DATOS!$N$15</definedName>
    <definedName name="coupon12_OISUSD">[2]DATOS!$Q$16</definedName>
    <definedName name="coupon13_OISUSD">[2]DATOS!$Q$17</definedName>
    <definedName name="coupon13_UVR">DATOS!$N$17</definedName>
    <definedName name="coupon14_OISUSD">[2]DATOS!$Q$18</definedName>
    <definedName name="coupon15_OISUSD">[2]DATOS!$Q$19</definedName>
    <definedName name="coupon15_UVR">DATOS!$N$19</definedName>
    <definedName name="coupon16_OISUSD">[2]DATOS!$Q$20</definedName>
    <definedName name="coupon17_OISUSD">[2]DATOS!$Q$21</definedName>
    <definedName name="coupon18_OISUSD">[2]DATOS!$Q$22</definedName>
    <definedName name="coupon2">'[1]Treasury Bond Pricing'!$H$25</definedName>
    <definedName name="coupon2_LIBOR">DATOS!$E$6</definedName>
    <definedName name="coupon2_OISUSD">[2]DATOS!$Q$6</definedName>
    <definedName name="coupon3_IBR">DATOS!$D$7</definedName>
    <definedName name="coupon3_LIBOR">DATOS!$E$7</definedName>
    <definedName name="coupon3_OISUSD">[2]DATOS!$Q$7</definedName>
    <definedName name="coupon4_IBR">DATOS!$D$8</definedName>
    <definedName name="coupon4_LIBOR">DATOS!$E$8</definedName>
    <definedName name="coupon4_OISUSD">[2]DATOS!$Q$8</definedName>
    <definedName name="coupon5_IBR">DATOS!$D$9</definedName>
    <definedName name="coupon5_LIBOR">DATOS!$E$9</definedName>
    <definedName name="coupon5_OISUSD">[2]DATOS!$Q$9</definedName>
    <definedName name="coupon6_IBR">DATOS!$D$10</definedName>
    <definedName name="coupon6_LIBOR">DATOS!$E$10</definedName>
    <definedName name="coupon6_OISUSD">[2]DATOS!$Q$10</definedName>
    <definedName name="coupon7_IBR">DATOS!$D$11</definedName>
    <definedName name="coupon7_OISUSD">[2]DATOS!$Q$11</definedName>
    <definedName name="coupon8_LIBOR">DATOS!$E$12</definedName>
    <definedName name="coupon8_OISUSD">[2]DATOS!$Q$12</definedName>
    <definedName name="coupon9_OISUSD">[2]DATOS!$Q$13</definedName>
    <definedName name="coupon9_UVR">DATOS!$N$13</definedName>
    <definedName name="date" localSheetId="1">CDS!$B$3:$B$43</definedName>
    <definedName name="date" localSheetId="2">OIS!$B$3:$B$65</definedName>
    <definedName name="DF" localSheetId="1">CDS!$E$3:$E$44</definedName>
    <definedName name="DF" localSheetId="2">OIS!$E$3:$E$65</definedName>
    <definedName name="DI" localSheetId="1">CDS!$D$3:$D$43</definedName>
    <definedName name="Intensity1" localSheetId="1">CDS!$D$7</definedName>
    <definedName name="Intensity2" localSheetId="1">CDS!$D$11</definedName>
    <definedName name="Intensity3" localSheetId="1">CDS!$D$15</definedName>
    <definedName name="Intensity4" localSheetId="1">CDS!$D$23</definedName>
    <definedName name="Intensity5" localSheetId="1">CDS!$D$43</definedName>
    <definedName name="mat_1">[2]DATOS!$B$5</definedName>
    <definedName name="mat_10">[2]DATOS!$B$14</definedName>
    <definedName name="mat_11" localSheetId="2">[2]DATOS!$B$15</definedName>
    <definedName name="mat_12">[2]DATOS!$B$16</definedName>
    <definedName name="mat_13">[2]DATOS!$B$17</definedName>
    <definedName name="mat_14">[2]DATOS!$B$18</definedName>
    <definedName name="mat_15">[2]DATOS!$B$19</definedName>
    <definedName name="mat_16">[2]DATOS!$B$20</definedName>
    <definedName name="mat_17">[2]DATOS!$B$21</definedName>
    <definedName name="mat_18">[2]DATOS!$B$22</definedName>
    <definedName name="mat_2">[2]DATOS!$B$6</definedName>
    <definedName name="mat_3">[2]DATOS!$B$7</definedName>
    <definedName name="mat_4">[2]DATOS!$B$8</definedName>
    <definedName name="mat_5">[2]DATOS!$B$9</definedName>
    <definedName name="mat_6">[2]DATOS!$B$10</definedName>
    <definedName name="mat_7">[2]DATOS!$B$11</definedName>
    <definedName name="mat_8">[2]DATOS!$B$12</definedName>
    <definedName name="mat_9">[2]DATOS!$B$13</definedName>
    <definedName name="price1">[2]DATOS!$R$5</definedName>
    <definedName name="price10">[2]DATOS!$R$14</definedName>
    <definedName name="price2">[2]DATOS!$R$6</definedName>
    <definedName name="price3">[2]DATOS!$R$7</definedName>
    <definedName name="price4">[2]DATOS!$R$8</definedName>
    <definedName name="price5">[2]DATOS!$R$9</definedName>
    <definedName name="price6">[2]DATOS!$R$10</definedName>
    <definedName name="price7">[2]DATOS!$R$11</definedName>
    <definedName name="price8">[2]DATOS!$R$12</definedName>
    <definedName name="price9">[2]DATOS!$R$13</definedName>
    <definedName name="rate1" localSheetId="2">OIS!$D$4</definedName>
    <definedName name="rate10" localSheetId="2">OIS!$D$21</definedName>
    <definedName name="rate11" localSheetId="2">OIS!$D$25</definedName>
    <definedName name="rate12" localSheetId="2">OIS!$D$29</definedName>
    <definedName name="rate13" localSheetId="2">OIS!$D$33</definedName>
    <definedName name="rate14" localSheetId="2">OIS!$D$37</definedName>
    <definedName name="rate15" localSheetId="2">OIS!$D$41</definedName>
    <definedName name="rate16" localSheetId="2">OIS!$D$45</definedName>
    <definedName name="rate17" localSheetId="2">OIS!$D$53</definedName>
    <definedName name="rate18" localSheetId="2">OIS!$D$65</definedName>
    <definedName name="rate6" localSheetId="2">OIS!$D$9</definedName>
    <definedName name="rate7" localSheetId="2">OIS!$D$11</definedName>
    <definedName name="rate8" localSheetId="2">OIS!$D$13</definedName>
    <definedName name="rate9" localSheetId="2">OIS!$D$17</definedName>
    <definedName name="Recovery">[3]Tabla!$M$1</definedName>
    <definedName name="time" localSheetId="2">OIS!$C$3:$C$65</definedName>
    <definedName name="time10" localSheetId="2">OIS!$C$21</definedName>
    <definedName name="time11" localSheetId="2">OIS!$C$25</definedName>
    <definedName name="time12" localSheetId="2">OIS!$C$29</definedName>
    <definedName name="time13" localSheetId="2">OIS!$C$33</definedName>
    <definedName name="time14" localSheetId="2">OIS!$C$37</definedName>
    <definedName name="time15" localSheetId="2">OIS!$C$41</definedName>
    <definedName name="time16" localSheetId="2">OIS!$C$45</definedName>
    <definedName name="time17" localSheetId="2">OIS!$C$53</definedName>
    <definedName name="time18" localSheetId="2">OIS!$C$65</definedName>
    <definedName name="time6" localSheetId="2">OIS!$C$9</definedName>
    <definedName name="time7" localSheetId="2">OIS!$C$11</definedName>
    <definedName name="time8" localSheetId="2">OIS!$C$13</definedName>
    <definedName name="time9" localSheetId="2">OIS!$C$17</definedName>
    <definedName name="timeCDS" localSheetId="1">CDS!$C$3:$C$43</definedName>
    <definedName name="USDCOP">DATOS!$C$1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67" i="3" l="1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AD25" i="3"/>
  <c r="AD26" i="3" s="1"/>
  <c r="D3" i="3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2" i="2"/>
  <c r="D21" i="2"/>
  <c r="D20" i="2"/>
  <c r="D19" i="2"/>
  <c r="D18" i="2"/>
  <c r="D17" i="2"/>
  <c r="D16" i="2"/>
  <c r="D14" i="2"/>
  <c r="D13" i="2"/>
  <c r="D12" i="2"/>
  <c r="D10" i="2"/>
  <c r="D9" i="2"/>
  <c r="D8" i="2"/>
  <c r="D6" i="2"/>
  <c r="D5" i="2"/>
  <c r="D4" i="2"/>
  <c r="G3" i="2"/>
  <c r="J126" i="1"/>
  <c r="F126" i="1"/>
  <c r="E126" i="1"/>
  <c r="D126" i="1"/>
  <c r="C126" i="1"/>
  <c r="J125" i="1"/>
  <c r="F125" i="1"/>
  <c r="E125" i="1"/>
  <c r="D125" i="1"/>
  <c r="C125" i="1"/>
  <c r="J124" i="1"/>
  <c r="F124" i="1"/>
  <c r="E124" i="1"/>
  <c r="D124" i="1"/>
  <c r="C124" i="1"/>
  <c r="J123" i="1"/>
  <c r="F123" i="1"/>
  <c r="E123" i="1"/>
  <c r="D123" i="1"/>
  <c r="C123" i="1"/>
  <c r="J122" i="1"/>
  <c r="F122" i="1"/>
  <c r="E122" i="1"/>
  <c r="D122" i="1"/>
  <c r="C122" i="1"/>
  <c r="J121" i="1"/>
  <c r="F121" i="1"/>
  <c r="E121" i="1"/>
  <c r="D121" i="1"/>
  <c r="C121" i="1"/>
  <c r="J120" i="1"/>
  <c r="F120" i="1"/>
  <c r="E120" i="1"/>
  <c r="D120" i="1"/>
  <c r="C120" i="1"/>
  <c r="J119" i="1"/>
  <c r="F119" i="1"/>
  <c r="E119" i="1"/>
  <c r="D119" i="1"/>
  <c r="C119" i="1"/>
  <c r="J118" i="1"/>
  <c r="F118" i="1"/>
  <c r="E118" i="1"/>
  <c r="D118" i="1"/>
  <c r="C118" i="1"/>
  <c r="J117" i="1"/>
  <c r="F117" i="1"/>
  <c r="E117" i="1"/>
  <c r="D117" i="1"/>
  <c r="C117" i="1"/>
  <c r="J116" i="1"/>
  <c r="F116" i="1"/>
  <c r="E116" i="1"/>
  <c r="D116" i="1"/>
  <c r="C116" i="1"/>
  <c r="J115" i="1"/>
  <c r="F115" i="1"/>
  <c r="E115" i="1"/>
  <c r="D115" i="1"/>
  <c r="C115" i="1"/>
  <c r="J114" i="1"/>
  <c r="F114" i="1"/>
  <c r="E114" i="1"/>
  <c r="D114" i="1"/>
  <c r="C114" i="1"/>
  <c r="J113" i="1"/>
  <c r="F113" i="1"/>
  <c r="E113" i="1"/>
  <c r="D113" i="1"/>
  <c r="C113" i="1"/>
  <c r="J112" i="1"/>
  <c r="F112" i="1"/>
  <c r="E112" i="1"/>
  <c r="D112" i="1"/>
  <c r="C112" i="1"/>
  <c r="J111" i="1"/>
  <c r="F111" i="1"/>
  <c r="E111" i="1"/>
  <c r="D111" i="1"/>
  <c r="C111" i="1"/>
  <c r="J110" i="1"/>
  <c r="F110" i="1"/>
  <c r="E110" i="1"/>
  <c r="D110" i="1"/>
  <c r="C110" i="1"/>
  <c r="J109" i="1"/>
  <c r="F109" i="1"/>
  <c r="E109" i="1"/>
  <c r="D109" i="1"/>
  <c r="C109" i="1"/>
  <c r="J108" i="1"/>
  <c r="F108" i="1"/>
  <c r="E108" i="1"/>
  <c r="D108" i="1"/>
  <c r="C108" i="1"/>
  <c r="J107" i="1"/>
  <c r="F107" i="1"/>
  <c r="E107" i="1"/>
  <c r="D107" i="1"/>
  <c r="C107" i="1"/>
  <c r="J106" i="1"/>
  <c r="F106" i="1"/>
  <c r="E106" i="1"/>
  <c r="D106" i="1"/>
  <c r="C106" i="1"/>
  <c r="J105" i="1"/>
  <c r="F105" i="1"/>
  <c r="E105" i="1"/>
  <c r="D105" i="1"/>
  <c r="C105" i="1"/>
  <c r="J104" i="1"/>
  <c r="F104" i="1"/>
  <c r="E104" i="1"/>
  <c r="D104" i="1"/>
  <c r="C104" i="1"/>
  <c r="J103" i="1"/>
  <c r="F103" i="1"/>
  <c r="E103" i="1"/>
  <c r="D103" i="1"/>
  <c r="C103" i="1"/>
  <c r="J102" i="1"/>
  <c r="F102" i="1"/>
  <c r="E102" i="1"/>
  <c r="D102" i="1"/>
  <c r="C102" i="1"/>
  <c r="J101" i="1"/>
  <c r="F101" i="1"/>
  <c r="E101" i="1"/>
  <c r="D101" i="1"/>
  <c r="C101" i="1"/>
  <c r="J100" i="1"/>
  <c r="F100" i="1"/>
  <c r="E100" i="1"/>
  <c r="D100" i="1"/>
  <c r="C100" i="1"/>
  <c r="J99" i="1"/>
  <c r="F99" i="1"/>
  <c r="E99" i="1"/>
  <c r="D99" i="1"/>
  <c r="C99" i="1"/>
  <c r="J98" i="1"/>
  <c r="F98" i="1"/>
  <c r="E98" i="1"/>
  <c r="D98" i="1"/>
  <c r="C98" i="1"/>
  <c r="J97" i="1"/>
  <c r="F97" i="1"/>
  <c r="E97" i="1"/>
  <c r="D97" i="1"/>
  <c r="C97" i="1"/>
  <c r="J96" i="1"/>
  <c r="F96" i="1"/>
  <c r="E96" i="1"/>
  <c r="D96" i="1"/>
  <c r="C96" i="1"/>
  <c r="J95" i="1"/>
  <c r="F95" i="1"/>
  <c r="E95" i="1"/>
  <c r="D95" i="1"/>
  <c r="C95" i="1"/>
  <c r="J94" i="1"/>
  <c r="F94" i="1"/>
  <c r="E94" i="1"/>
  <c r="D94" i="1"/>
  <c r="C94" i="1"/>
  <c r="J93" i="1"/>
  <c r="F93" i="1"/>
  <c r="E93" i="1"/>
  <c r="D93" i="1"/>
  <c r="C93" i="1"/>
  <c r="J92" i="1"/>
  <c r="F92" i="1"/>
  <c r="E92" i="1"/>
  <c r="D92" i="1"/>
  <c r="C92" i="1"/>
  <c r="J91" i="1"/>
  <c r="F91" i="1"/>
  <c r="E91" i="1"/>
  <c r="D91" i="1"/>
  <c r="C91" i="1"/>
  <c r="J90" i="1"/>
  <c r="F90" i="1"/>
  <c r="E90" i="1"/>
  <c r="D90" i="1"/>
  <c r="C90" i="1"/>
  <c r="J89" i="1"/>
  <c r="F89" i="1"/>
  <c r="E89" i="1"/>
  <c r="D89" i="1"/>
  <c r="C89" i="1"/>
  <c r="J88" i="1"/>
  <c r="F88" i="1"/>
  <c r="E88" i="1"/>
  <c r="D88" i="1"/>
  <c r="C88" i="1"/>
  <c r="J87" i="1"/>
  <c r="F87" i="1"/>
  <c r="E87" i="1"/>
  <c r="D87" i="1"/>
  <c r="C87" i="1"/>
  <c r="J86" i="1"/>
  <c r="F86" i="1"/>
  <c r="E86" i="1"/>
  <c r="D86" i="1"/>
  <c r="C86" i="1"/>
  <c r="J85" i="1"/>
  <c r="F85" i="1"/>
  <c r="E85" i="1"/>
  <c r="D85" i="1"/>
  <c r="C85" i="1"/>
  <c r="J84" i="1"/>
  <c r="F84" i="1"/>
  <c r="E84" i="1"/>
  <c r="D84" i="1"/>
  <c r="C84" i="1"/>
  <c r="J83" i="1"/>
  <c r="F83" i="1"/>
  <c r="E83" i="1"/>
  <c r="D83" i="1"/>
  <c r="C83" i="1"/>
  <c r="J82" i="1"/>
  <c r="F82" i="1"/>
  <c r="E82" i="1"/>
  <c r="D82" i="1"/>
  <c r="C82" i="1"/>
  <c r="J81" i="1"/>
  <c r="F81" i="1"/>
  <c r="E81" i="1"/>
  <c r="D81" i="1"/>
  <c r="C81" i="1"/>
  <c r="J80" i="1"/>
  <c r="F80" i="1"/>
  <c r="E80" i="1"/>
  <c r="D80" i="1"/>
  <c r="C80" i="1"/>
  <c r="J79" i="1"/>
  <c r="F79" i="1"/>
  <c r="E79" i="1"/>
  <c r="D79" i="1"/>
  <c r="C79" i="1"/>
  <c r="J78" i="1"/>
  <c r="F78" i="1"/>
  <c r="E78" i="1"/>
  <c r="D78" i="1"/>
  <c r="C78" i="1"/>
  <c r="J77" i="1"/>
  <c r="F77" i="1"/>
  <c r="E77" i="1"/>
  <c r="D77" i="1"/>
  <c r="C77" i="1"/>
  <c r="J76" i="1"/>
  <c r="F76" i="1"/>
  <c r="E76" i="1"/>
  <c r="D76" i="1"/>
  <c r="C76" i="1"/>
  <c r="J75" i="1"/>
  <c r="F75" i="1"/>
  <c r="E75" i="1"/>
  <c r="D75" i="1"/>
  <c r="C75" i="1"/>
  <c r="J74" i="1"/>
  <c r="F74" i="1"/>
  <c r="E74" i="1"/>
  <c r="D74" i="1"/>
  <c r="C74" i="1"/>
  <c r="J73" i="1"/>
  <c r="F73" i="1"/>
  <c r="E73" i="1"/>
  <c r="D73" i="1"/>
  <c r="C73" i="1"/>
  <c r="J72" i="1"/>
  <c r="F72" i="1"/>
  <c r="E72" i="1"/>
  <c r="D72" i="1"/>
  <c r="C72" i="1"/>
  <c r="J71" i="1"/>
  <c r="F71" i="1"/>
  <c r="E71" i="1"/>
  <c r="D71" i="1"/>
  <c r="C71" i="1"/>
  <c r="J70" i="1"/>
  <c r="F70" i="1"/>
  <c r="E70" i="1"/>
  <c r="D70" i="1"/>
  <c r="C70" i="1"/>
  <c r="J69" i="1"/>
  <c r="F69" i="1"/>
  <c r="E69" i="1"/>
  <c r="D69" i="1"/>
  <c r="C69" i="1"/>
  <c r="J62" i="1"/>
  <c r="F62" i="1"/>
  <c r="E62" i="1"/>
  <c r="D62" i="1"/>
  <c r="J61" i="1"/>
  <c r="F61" i="1"/>
  <c r="E61" i="1"/>
  <c r="D61" i="1"/>
  <c r="J60" i="1"/>
  <c r="F60" i="1"/>
  <c r="E60" i="1"/>
  <c r="D60" i="1"/>
  <c r="J59" i="1"/>
  <c r="F59" i="1"/>
  <c r="E59" i="1"/>
  <c r="D59" i="1"/>
  <c r="J58" i="1"/>
  <c r="F58" i="1"/>
  <c r="E58" i="1"/>
  <c r="D58" i="1"/>
  <c r="J57" i="1"/>
  <c r="F57" i="1"/>
  <c r="E57" i="1"/>
  <c r="D57" i="1"/>
  <c r="J56" i="1"/>
  <c r="F56" i="1"/>
  <c r="E56" i="1"/>
  <c r="D56" i="1"/>
  <c r="J55" i="1"/>
  <c r="F55" i="1"/>
  <c r="E55" i="1"/>
  <c r="D55" i="1" s="1"/>
  <c r="J54" i="1"/>
  <c r="F54" i="1"/>
  <c r="E54" i="1"/>
  <c r="D54" i="1"/>
  <c r="C54" i="1"/>
  <c r="J53" i="1"/>
  <c r="F53" i="1"/>
  <c r="E53" i="1"/>
  <c r="D53" i="1"/>
  <c r="C53" i="1"/>
  <c r="J52" i="1"/>
  <c r="F52" i="1"/>
  <c r="E52" i="1"/>
  <c r="D52" i="1"/>
  <c r="C52" i="1"/>
  <c r="J51" i="1"/>
  <c r="F51" i="1"/>
  <c r="E51" i="1"/>
  <c r="D51" i="1"/>
  <c r="C51" i="1"/>
  <c r="J50" i="1"/>
  <c r="F50" i="1"/>
  <c r="E50" i="1"/>
  <c r="D50" i="1"/>
  <c r="C50" i="1"/>
  <c r="J49" i="1"/>
  <c r="F49" i="1"/>
  <c r="E49" i="1"/>
  <c r="D49" i="1"/>
  <c r="C49" i="1"/>
  <c r="J48" i="1"/>
  <c r="F48" i="1"/>
  <c r="E48" i="1"/>
  <c r="D48" i="1"/>
  <c r="C48" i="1"/>
  <c r="J47" i="1"/>
  <c r="F47" i="1"/>
  <c r="E47" i="1"/>
  <c r="D47" i="1"/>
  <c r="C47" i="1"/>
  <c r="J46" i="1"/>
  <c r="F46" i="1"/>
  <c r="E46" i="1"/>
  <c r="D46" i="1"/>
  <c r="C46" i="1"/>
  <c r="J45" i="1"/>
  <c r="F45" i="1"/>
  <c r="E45" i="1"/>
  <c r="D45" i="1"/>
  <c r="C45" i="1"/>
  <c r="J44" i="1"/>
  <c r="F44" i="1"/>
  <c r="E44" i="1"/>
  <c r="D44" i="1"/>
  <c r="C44" i="1"/>
  <c r="B38" i="1"/>
  <c r="B37" i="1"/>
  <c r="I36" i="1"/>
  <c r="E36" i="1"/>
  <c r="D36" i="1"/>
  <c r="B36" i="1"/>
  <c r="I35" i="1"/>
  <c r="E35" i="1"/>
  <c r="D35" i="1"/>
  <c r="B35" i="1"/>
  <c r="E34" i="1"/>
  <c r="D34" i="1"/>
  <c r="B34" i="1"/>
  <c r="E33" i="1"/>
  <c r="D33" i="1"/>
  <c r="B33" i="1"/>
  <c r="E32" i="1"/>
  <c r="D32" i="1"/>
  <c r="B32" i="1"/>
  <c r="E31" i="1"/>
  <c r="D31" i="1"/>
  <c r="B31" i="1"/>
  <c r="I30" i="1"/>
  <c r="E30" i="1"/>
  <c r="D30" i="1"/>
  <c r="B30" i="1"/>
  <c r="E29" i="1"/>
  <c r="D29" i="1"/>
  <c r="B29" i="1"/>
  <c r="AH22" i="1"/>
  <c r="AG22" i="1"/>
  <c r="AF22" i="1"/>
  <c r="AE22" i="1"/>
  <c r="AC22" i="1"/>
  <c r="AB22" i="1"/>
  <c r="AD22" i="1" s="1"/>
  <c r="AA22" i="1"/>
  <c r="Z22" i="1"/>
  <c r="D22" i="1" s="1"/>
  <c r="Q22" i="1"/>
  <c r="M22" i="1"/>
  <c r="N22" i="1" s="1"/>
  <c r="J22" i="1"/>
  <c r="I22" i="1"/>
  <c r="H22" i="1"/>
  <c r="G22" i="1"/>
  <c r="F22" i="1"/>
  <c r="E22" i="1"/>
  <c r="AH21" i="1"/>
  <c r="AG21" i="1"/>
  <c r="AF21" i="1"/>
  <c r="AE21" i="1"/>
  <c r="AC21" i="1"/>
  <c r="AB21" i="1"/>
  <c r="AD21" i="1" s="1"/>
  <c r="AA21" i="1"/>
  <c r="Z21" i="1"/>
  <c r="D21" i="1" s="1"/>
  <c r="Q21" i="1"/>
  <c r="M21" i="1"/>
  <c r="N21" i="1" s="1"/>
  <c r="J21" i="1"/>
  <c r="I21" i="1"/>
  <c r="H21" i="1"/>
  <c r="G21" i="1"/>
  <c r="F21" i="1"/>
  <c r="E21" i="1"/>
  <c r="AH20" i="1"/>
  <c r="AG20" i="1"/>
  <c r="AF20" i="1"/>
  <c r="AE20" i="1"/>
  <c r="AC20" i="1"/>
  <c r="AB20" i="1"/>
  <c r="AD20" i="1" s="1"/>
  <c r="AA20" i="1"/>
  <c r="Z20" i="1"/>
  <c r="D20" i="1" s="1"/>
  <c r="Q20" i="1"/>
  <c r="O20" i="1"/>
  <c r="N20" i="1"/>
  <c r="M20" i="1"/>
  <c r="J20" i="1"/>
  <c r="I20" i="1"/>
  <c r="H20" i="1"/>
  <c r="G20" i="1"/>
  <c r="F20" i="1"/>
  <c r="E20" i="1"/>
  <c r="AG19" i="1"/>
  <c r="AF19" i="1"/>
  <c r="AE19" i="1"/>
  <c r="AC19" i="1"/>
  <c r="AB19" i="1"/>
  <c r="AD19" i="1" s="1"/>
  <c r="AA19" i="1"/>
  <c r="Z19" i="1"/>
  <c r="D19" i="1" s="1"/>
  <c r="Q19" i="1"/>
  <c r="N19" i="1"/>
  <c r="K125" i="1" s="1"/>
  <c r="J19" i="1"/>
  <c r="I19" i="1"/>
  <c r="H19" i="1"/>
  <c r="G19" i="1"/>
  <c r="F19" i="1"/>
  <c r="E19" i="1"/>
  <c r="AG18" i="1"/>
  <c r="AF18" i="1"/>
  <c r="AE18" i="1"/>
  <c r="AC18" i="1"/>
  <c r="AB18" i="1"/>
  <c r="AD18" i="1" s="1"/>
  <c r="AA18" i="1"/>
  <c r="Z18" i="1"/>
  <c r="D18" i="1" s="1"/>
  <c r="Q18" i="1"/>
  <c r="N18" i="1"/>
  <c r="J18" i="1"/>
  <c r="I18" i="1"/>
  <c r="H18" i="1"/>
  <c r="G18" i="1"/>
  <c r="F18" i="1"/>
  <c r="E18" i="1"/>
  <c r="AH17" i="1"/>
  <c r="AG17" i="1"/>
  <c r="AF17" i="1"/>
  <c r="AE17" i="1"/>
  <c r="AC17" i="1"/>
  <c r="AB17" i="1"/>
  <c r="AD17" i="1" s="1"/>
  <c r="AA17" i="1"/>
  <c r="Z17" i="1"/>
  <c r="D17" i="1" s="1"/>
  <c r="Q17" i="1"/>
  <c r="O17" i="1"/>
  <c r="N17" i="1"/>
  <c r="K124" i="1" s="1"/>
  <c r="M17" i="1"/>
  <c r="J17" i="1"/>
  <c r="I17" i="1"/>
  <c r="H17" i="1"/>
  <c r="G17" i="1"/>
  <c r="F17" i="1"/>
  <c r="E17" i="1"/>
  <c r="AG16" i="1"/>
  <c r="AF16" i="1"/>
  <c r="AE16" i="1"/>
  <c r="AC16" i="1"/>
  <c r="AB16" i="1"/>
  <c r="AD16" i="1" s="1"/>
  <c r="AA16" i="1"/>
  <c r="Z16" i="1"/>
  <c r="D16" i="1" s="1"/>
  <c r="Q16" i="1"/>
  <c r="N16" i="1"/>
  <c r="J16" i="1"/>
  <c r="I16" i="1"/>
  <c r="H16" i="1"/>
  <c r="G16" i="1"/>
  <c r="F16" i="1"/>
  <c r="E16" i="1"/>
  <c r="AH15" i="1"/>
  <c r="AG15" i="1"/>
  <c r="AF15" i="1"/>
  <c r="AE15" i="1"/>
  <c r="AC15" i="1"/>
  <c r="AB15" i="1"/>
  <c r="AD15" i="1" s="1"/>
  <c r="AA15" i="1"/>
  <c r="Z15" i="1"/>
  <c r="D15" i="1" s="1"/>
  <c r="Q15" i="1"/>
  <c r="O15" i="1"/>
  <c r="N15" i="1"/>
  <c r="K123" i="1" s="1"/>
  <c r="M15" i="1"/>
  <c r="J15" i="1"/>
  <c r="I15" i="1"/>
  <c r="H15" i="1"/>
  <c r="G15" i="1"/>
  <c r="F15" i="1"/>
  <c r="E15" i="1"/>
  <c r="AH14" i="1"/>
  <c r="AG14" i="1"/>
  <c r="AF14" i="1"/>
  <c r="AE14" i="1"/>
  <c r="AC14" i="1"/>
  <c r="AB14" i="1"/>
  <c r="AD14" i="1" s="1"/>
  <c r="AA14" i="1"/>
  <c r="Z14" i="1"/>
  <c r="D14" i="1" s="1"/>
  <c r="Q14" i="1"/>
  <c r="O14" i="1"/>
  <c r="N14" i="1"/>
  <c r="M14" i="1"/>
  <c r="J14" i="1"/>
  <c r="I14" i="1"/>
  <c r="H14" i="1"/>
  <c r="G14" i="1"/>
  <c r="F14" i="1"/>
  <c r="E14" i="1"/>
  <c r="AH13" i="1"/>
  <c r="AG13" i="1"/>
  <c r="AF13" i="1"/>
  <c r="AE13" i="1"/>
  <c r="AC13" i="1"/>
  <c r="AB13" i="1"/>
  <c r="AD13" i="1" s="1"/>
  <c r="AA13" i="1"/>
  <c r="Z13" i="1"/>
  <c r="D13" i="1" s="1"/>
  <c r="Q13" i="1"/>
  <c r="O13" i="1"/>
  <c r="N13" i="1"/>
  <c r="K122" i="1" s="1"/>
  <c r="L122" i="1" s="1"/>
  <c r="M13" i="1"/>
  <c r="J13" i="1"/>
  <c r="I13" i="1"/>
  <c r="H13" i="1"/>
  <c r="G13" i="1"/>
  <c r="F13" i="1"/>
  <c r="E13" i="1"/>
  <c r="AH12" i="1"/>
  <c r="AG12" i="1"/>
  <c r="AF12" i="1"/>
  <c r="AE12" i="1"/>
  <c r="AC12" i="1"/>
  <c r="AB12" i="1"/>
  <c r="AD12" i="1" s="1"/>
  <c r="AA12" i="1"/>
  <c r="Z12" i="1"/>
  <c r="D12" i="1" s="1"/>
  <c r="Q12" i="1"/>
  <c r="O12" i="1"/>
  <c r="N12" i="1"/>
  <c r="M12" i="1"/>
  <c r="J12" i="1"/>
  <c r="I12" i="1"/>
  <c r="H12" i="1"/>
  <c r="G12" i="1"/>
  <c r="F12" i="1"/>
  <c r="E12" i="1"/>
  <c r="AC11" i="1"/>
  <c r="AB11" i="1"/>
  <c r="AD11" i="1" s="1"/>
  <c r="AA11" i="1"/>
  <c r="Z11" i="1"/>
  <c r="D11" i="1" s="1"/>
  <c r="Q11" i="1"/>
  <c r="K11" i="1"/>
  <c r="AE10" i="1"/>
  <c r="AC10" i="1"/>
  <c r="AB10" i="1"/>
  <c r="AD10" i="1" s="1"/>
  <c r="AA10" i="1"/>
  <c r="Z10" i="1"/>
  <c r="D10" i="1" s="1"/>
  <c r="Q10" i="1"/>
  <c r="O10" i="1"/>
  <c r="N10" i="1"/>
  <c r="K10" i="1"/>
  <c r="J10" i="1"/>
  <c r="E10" i="1"/>
  <c r="I34" i="1" s="1"/>
  <c r="AE9" i="1"/>
  <c r="AC9" i="1"/>
  <c r="AB9" i="1"/>
  <c r="AD9" i="1" s="1"/>
  <c r="AA9" i="1"/>
  <c r="Z9" i="1"/>
  <c r="Q9" i="1"/>
  <c r="N9" i="1"/>
  <c r="E9" i="1"/>
  <c r="I33" i="1" s="1"/>
  <c r="D9" i="1"/>
  <c r="AE8" i="1"/>
  <c r="AC8" i="1"/>
  <c r="AB8" i="1"/>
  <c r="AD8" i="1" s="1"/>
  <c r="AA8" i="1"/>
  <c r="Z8" i="1"/>
  <c r="D8" i="1" s="1"/>
  <c r="Q8" i="1"/>
  <c r="N8" i="1"/>
  <c r="E8" i="1"/>
  <c r="I32" i="1" s="1"/>
  <c r="AE7" i="1"/>
  <c r="AC7" i="1"/>
  <c r="AB7" i="1"/>
  <c r="AD7" i="1" s="1"/>
  <c r="AA7" i="1"/>
  <c r="Z7" i="1"/>
  <c r="D7" i="1" s="1"/>
  <c r="Q7" i="1"/>
  <c r="N7" i="1"/>
  <c r="E7" i="1"/>
  <c r="I31" i="1" s="1"/>
  <c r="AE6" i="1"/>
  <c r="AC6" i="1"/>
  <c r="AB6" i="1"/>
  <c r="AD6" i="1" s="1"/>
  <c r="AA6" i="1"/>
  <c r="Z6" i="1"/>
  <c r="D6" i="1" s="1"/>
  <c r="Q6" i="1"/>
  <c r="N6" i="1"/>
  <c r="E6" i="1"/>
  <c r="I29" i="1" s="1"/>
  <c r="Q5" i="1"/>
  <c r="N5" i="1"/>
  <c r="E5" i="1"/>
  <c r="D5" i="1"/>
  <c r="B4" i="1"/>
  <c r="B3" i="3" s="1"/>
  <c r="C3" i="3" s="1"/>
  <c r="N1" i="1"/>
  <c r="C1" i="1"/>
  <c r="B118" i="1" l="1"/>
  <c r="B120" i="1"/>
  <c r="B94" i="1"/>
  <c r="B102" i="1"/>
  <c r="C35" i="1"/>
  <c r="B88" i="1"/>
  <c r="B92" i="1"/>
  <c r="B95" i="1"/>
  <c r="B107" i="1"/>
  <c r="B106" i="1"/>
  <c r="B110" i="1"/>
  <c r="B114" i="1"/>
  <c r="B91" i="1"/>
  <c r="B98" i="1"/>
  <c r="B90" i="1"/>
  <c r="B104" i="1"/>
  <c r="B108" i="1"/>
  <c r="B111" i="1"/>
  <c r="B87" i="1"/>
  <c r="B100" i="1"/>
  <c r="B103" i="1"/>
  <c r="B116" i="1"/>
  <c r="B119" i="1"/>
  <c r="B96" i="1"/>
  <c r="B99" i="1"/>
  <c r="B112" i="1"/>
  <c r="B115" i="1"/>
  <c r="L33" i="1"/>
  <c r="C36" i="1"/>
  <c r="G44" i="1"/>
  <c r="G48" i="1"/>
  <c r="L32" i="1"/>
  <c r="L30" i="1"/>
  <c r="L31" i="1"/>
  <c r="G46" i="1"/>
  <c r="L29" i="1"/>
  <c r="L34" i="1"/>
  <c r="L40" i="1"/>
  <c r="L39" i="1"/>
  <c r="C29" i="1"/>
  <c r="R29" i="1" s="1"/>
  <c r="N29" i="1"/>
  <c r="C30" i="1"/>
  <c r="H30" i="1" s="1"/>
  <c r="J30" i="1" s="1"/>
  <c r="N30" i="1"/>
  <c r="C31" i="1"/>
  <c r="R31" i="1" s="1"/>
  <c r="N31" i="1"/>
  <c r="C32" i="1"/>
  <c r="R32" i="1" s="1"/>
  <c r="N32" i="1"/>
  <c r="C34" i="1"/>
  <c r="R34" i="1" s="1"/>
  <c r="N34" i="1"/>
  <c r="C40" i="1"/>
  <c r="H40" i="1" s="1"/>
  <c r="G70" i="1"/>
  <c r="G74" i="1"/>
  <c r="G78" i="1"/>
  <c r="G82" i="1"/>
  <c r="G86" i="1"/>
  <c r="G89" i="1"/>
  <c r="H93" i="1"/>
  <c r="I93" i="1" s="1"/>
  <c r="G94" i="1"/>
  <c r="G97" i="1"/>
  <c r="H101" i="1"/>
  <c r="I101" i="1" s="1"/>
  <c r="G102" i="1"/>
  <c r="G105" i="1"/>
  <c r="H109" i="1"/>
  <c r="I109" i="1" s="1"/>
  <c r="G110" i="1"/>
  <c r="G113" i="1"/>
  <c r="H117" i="1"/>
  <c r="I117" i="1" s="1"/>
  <c r="G118" i="1"/>
  <c r="G121" i="1"/>
  <c r="L123" i="1"/>
  <c r="G125" i="1"/>
  <c r="B5" i="1"/>
  <c r="C5" i="1" s="1"/>
  <c r="J1" i="1"/>
  <c r="I37" i="1"/>
  <c r="I38" i="1"/>
  <c r="C39" i="1"/>
  <c r="H39" i="1" s="1"/>
  <c r="I40" i="1"/>
  <c r="H46" i="1"/>
  <c r="I46" i="1" s="1"/>
  <c r="H47" i="1"/>
  <c r="I47" i="1" s="1"/>
  <c r="H50" i="1"/>
  <c r="I50" i="1" s="1"/>
  <c r="G50" i="1"/>
  <c r="H52" i="1"/>
  <c r="I52" i="1" s="1"/>
  <c r="H54" i="1"/>
  <c r="I54" i="1" s="1"/>
  <c r="G71" i="1"/>
  <c r="G75" i="1"/>
  <c r="G79" i="1"/>
  <c r="G83" i="1"/>
  <c r="G92" i="1"/>
  <c r="G100" i="1"/>
  <c r="G108" i="1"/>
  <c r="G116" i="1"/>
  <c r="G122" i="1"/>
  <c r="L124" i="1"/>
  <c r="G126" i="1"/>
  <c r="B6" i="1"/>
  <c r="C6" i="1" s="1"/>
  <c r="B7" i="1"/>
  <c r="C33" i="1"/>
  <c r="R33" i="1" s="1"/>
  <c r="N33" i="1"/>
  <c r="C38" i="1"/>
  <c r="K38" i="1" s="1"/>
  <c r="I39" i="1"/>
  <c r="G51" i="1"/>
  <c r="G57" i="1"/>
  <c r="G58" i="1"/>
  <c r="G61" i="1"/>
  <c r="G62" i="1"/>
  <c r="G72" i="1"/>
  <c r="G76" i="1"/>
  <c r="G80" i="1"/>
  <c r="G84" i="1"/>
  <c r="H89" i="1"/>
  <c r="I89" i="1" s="1"/>
  <c r="G90" i="1"/>
  <c r="G93" i="1"/>
  <c r="H97" i="1"/>
  <c r="I97" i="1" s="1"/>
  <c r="G98" i="1"/>
  <c r="G101" i="1"/>
  <c r="H105" i="1"/>
  <c r="I105" i="1" s="1"/>
  <c r="G106" i="1"/>
  <c r="G109" i="1"/>
  <c r="H113" i="1"/>
  <c r="I113" i="1" s="1"/>
  <c r="G114" i="1"/>
  <c r="G117" i="1"/>
  <c r="H125" i="1"/>
  <c r="I125" i="1" s="1"/>
  <c r="L125" i="1"/>
  <c r="H123" i="1"/>
  <c r="I123" i="1" s="1"/>
  <c r="G119" i="1"/>
  <c r="H118" i="1"/>
  <c r="I118" i="1" s="1"/>
  <c r="G115" i="1"/>
  <c r="H114" i="1"/>
  <c r="I114" i="1" s="1"/>
  <c r="G111" i="1"/>
  <c r="H110" i="1"/>
  <c r="I110" i="1" s="1"/>
  <c r="G107" i="1"/>
  <c r="H106" i="1"/>
  <c r="I106" i="1" s="1"/>
  <c r="G103" i="1"/>
  <c r="H102" i="1"/>
  <c r="I102" i="1" s="1"/>
  <c r="G99" i="1"/>
  <c r="H98" i="1"/>
  <c r="I98" i="1" s="1"/>
  <c r="G95" i="1"/>
  <c r="H94" i="1"/>
  <c r="I94" i="1" s="1"/>
  <c r="G91" i="1"/>
  <c r="H90" i="1"/>
  <c r="I90" i="1" s="1"/>
  <c r="G87" i="1"/>
  <c r="H86" i="1"/>
  <c r="I86" i="1" s="1"/>
  <c r="H85" i="1"/>
  <c r="I85" i="1" s="1"/>
  <c r="H84" i="1"/>
  <c r="I84" i="1" s="1"/>
  <c r="H83" i="1"/>
  <c r="I83" i="1" s="1"/>
  <c r="H82" i="1"/>
  <c r="I82" i="1" s="1"/>
  <c r="H81" i="1"/>
  <c r="I81" i="1" s="1"/>
  <c r="H80" i="1"/>
  <c r="I80" i="1" s="1"/>
  <c r="H79" i="1"/>
  <c r="I79" i="1" s="1"/>
  <c r="H78" i="1"/>
  <c r="I78" i="1" s="1"/>
  <c r="H77" i="1"/>
  <c r="I77" i="1" s="1"/>
  <c r="H76" i="1"/>
  <c r="I76" i="1" s="1"/>
  <c r="H75" i="1"/>
  <c r="I75" i="1" s="1"/>
  <c r="H74" i="1"/>
  <c r="I74" i="1" s="1"/>
  <c r="H73" i="1"/>
  <c r="I73" i="1" s="1"/>
  <c r="H72" i="1"/>
  <c r="I72" i="1" s="1"/>
  <c r="H71" i="1"/>
  <c r="I71" i="1" s="1"/>
  <c r="H70" i="1"/>
  <c r="I70" i="1" s="1"/>
  <c r="H69" i="1"/>
  <c r="I69" i="1" s="1"/>
  <c r="H62" i="1"/>
  <c r="I62" i="1" s="1"/>
  <c r="H58" i="1"/>
  <c r="I58" i="1" s="1"/>
  <c r="H51" i="1"/>
  <c r="I51" i="1" s="1"/>
  <c r="G123" i="1"/>
  <c r="H59" i="1"/>
  <c r="I59" i="1" s="1"/>
  <c r="H55" i="1"/>
  <c r="I55" i="1" s="1"/>
  <c r="H124" i="1"/>
  <c r="I124" i="1" s="1"/>
  <c r="H122" i="1"/>
  <c r="I122" i="1" s="1"/>
  <c r="H121" i="1"/>
  <c r="I121" i="1" s="1"/>
  <c r="H120" i="1"/>
  <c r="I120" i="1" s="1"/>
  <c r="H116" i="1"/>
  <c r="I116" i="1" s="1"/>
  <c r="H112" i="1"/>
  <c r="I112" i="1" s="1"/>
  <c r="H108" i="1"/>
  <c r="I108" i="1" s="1"/>
  <c r="H104" i="1"/>
  <c r="I104" i="1" s="1"/>
  <c r="H100" i="1"/>
  <c r="I100" i="1" s="1"/>
  <c r="H96" i="1"/>
  <c r="I96" i="1" s="1"/>
  <c r="H92" i="1"/>
  <c r="I92" i="1" s="1"/>
  <c r="H88" i="1"/>
  <c r="I88" i="1" s="1"/>
  <c r="H60" i="1"/>
  <c r="I60" i="1" s="1"/>
  <c r="G59" i="1"/>
  <c r="H56" i="1"/>
  <c r="I56" i="1" s="1"/>
  <c r="G55" i="1"/>
  <c r="G54" i="1"/>
  <c r="G88" i="1"/>
  <c r="H61" i="1"/>
  <c r="I61" i="1" s="1"/>
  <c r="G60" i="1"/>
  <c r="H57" i="1"/>
  <c r="I57" i="1" s="1"/>
  <c r="G56" i="1"/>
  <c r="G53" i="1"/>
  <c r="G49" i="1"/>
  <c r="G45" i="1"/>
  <c r="B10" i="1"/>
  <c r="C37" i="1"/>
  <c r="K37" i="1" s="1"/>
  <c r="H44" i="1"/>
  <c r="I44" i="1" s="1"/>
  <c r="H45" i="1"/>
  <c r="I45" i="1" s="1"/>
  <c r="G47" i="1"/>
  <c r="H48" i="1"/>
  <c r="I48" i="1" s="1"/>
  <c r="H49" i="1"/>
  <c r="I49" i="1" s="1"/>
  <c r="G52" i="1"/>
  <c r="H53" i="1"/>
  <c r="I53" i="1" s="1"/>
  <c r="G69" i="1"/>
  <c r="G73" i="1"/>
  <c r="G77" i="1"/>
  <c r="G81" i="1"/>
  <c r="G85" i="1"/>
  <c r="G96" i="1"/>
  <c r="G104" i="1"/>
  <c r="G112" i="1"/>
  <c r="G120" i="1"/>
  <c r="G124" i="1"/>
  <c r="H126" i="1"/>
  <c r="I126" i="1" s="1"/>
  <c r="H87" i="1"/>
  <c r="I87" i="1" s="1"/>
  <c r="B89" i="1"/>
  <c r="H91" i="1"/>
  <c r="I91" i="1" s="1"/>
  <c r="B93" i="1"/>
  <c r="H95" i="1"/>
  <c r="I95" i="1" s="1"/>
  <c r="B97" i="1"/>
  <c r="H99" i="1"/>
  <c r="I99" i="1" s="1"/>
  <c r="B101" i="1"/>
  <c r="H103" i="1"/>
  <c r="I103" i="1" s="1"/>
  <c r="B105" i="1"/>
  <c r="H107" i="1"/>
  <c r="I107" i="1" s="1"/>
  <c r="B109" i="1"/>
  <c r="H111" i="1"/>
  <c r="I111" i="1" s="1"/>
  <c r="B113" i="1"/>
  <c r="H115" i="1"/>
  <c r="I115" i="1" s="1"/>
  <c r="B117" i="1"/>
  <c r="H119" i="1"/>
  <c r="I119" i="1" s="1"/>
  <c r="O34" i="1" l="1"/>
  <c r="O29" i="1"/>
  <c r="R30" i="1"/>
  <c r="H29" i="1"/>
  <c r="J29" i="1" s="1"/>
  <c r="O32" i="1"/>
  <c r="K40" i="1"/>
  <c r="K39" i="1"/>
  <c r="H38" i="1"/>
  <c r="J38" i="1" s="1"/>
  <c r="K30" i="1"/>
  <c r="O30" i="1"/>
  <c r="K29" i="1"/>
  <c r="J40" i="1"/>
  <c r="O33" i="1"/>
  <c r="O31" i="1"/>
  <c r="J39" i="1"/>
  <c r="B12" i="1"/>
  <c r="B11" i="1"/>
  <c r="C10" i="1"/>
  <c r="P33" i="1"/>
  <c r="B8" i="1"/>
  <c r="C7" i="1"/>
  <c r="P34" i="1"/>
  <c r="Q34" i="1" s="1"/>
  <c r="P32" i="1"/>
  <c r="Q32" i="1" s="1"/>
  <c r="H37" i="1"/>
  <c r="J37" i="1" s="1"/>
  <c r="P29" i="1"/>
  <c r="Q29" i="1" s="1"/>
  <c r="P30" i="1"/>
  <c r="P31" i="1"/>
  <c r="L10" i="1"/>
  <c r="Q33" i="1" l="1"/>
  <c r="Q30" i="1"/>
  <c r="Q31" i="1"/>
  <c r="K31" i="1"/>
  <c r="H31" i="1"/>
  <c r="J31" i="1" s="1"/>
  <c r="G7" i="1" s="1"/>
  <c r="K34" i="1"/>
  <c r="H34" i="1"/>
  <c r="J34" i="1" s="1"/>
  <c r="B9" i="1"/>
  <c r="C9" i="1" s="1"/>
  <c r="C8" i="1"/>
  <c r="C11" i="1"/>
  <c r="H35" i="1" s="1"/>
  <c r="J35" i="1" s="1"/>
  <c r="L11" i="1"/>
  <c r="P10" i="1" s="1"/>
  <c r="B13" i="1"/>
  <c r="C12" i="1"/>
  <c r="K12" i="1"/>
  <c r="L12" i="1" s="1"/>
  <c r="K36" i="1" l="1"/>
  <c r="K35" i="1"/>
  <c r="H36" i="1"/>
  <c r="J36" i="1" s="1"/>
  <c r="B14" i="1"/>
  <c r="C13" i="1"/>
  <c r="K13" i="1"/>
  <c r="L13" i="1" s="1"/>
  <c r="K32" i="1"/>
  <c r="H32" i="1"/>
  <c r="J32" i="1" s="1"/>
  <c r="U28" i="1"/>
  <c r="T28" i="1"/>
  <c r="P11" i="1"/>
  <c r="H33" i="1"/>
  <c r="J33" i="1" s="1"/>
  <c r="K33" i="1"/>
  <c r="B15" i="1" l="1"/>
  <c r="C14" i="1"/>
  <c r="K14" i="1"/>
  <c r="L14" i="1" s="1"/>
  <c r="U29" i="1"/>
  <c r="P12" i="1"/>
  <c r="T29" i="1"/>
  <c r="P13" i="1" l="1"/>
  <c r="U30" i="1"/>
  <c r="T30" i="1"/>
  <c r="B17" i="1"/>
  <c r="B16" i="1"/>
  <c r="C15" i="1"/>
  <c r="K15" i="1"/>
  <c r="L15" i="1" s="1"/>
  <c r="B18" i="1" l="1"/>
  <c r="C17" i="1"/>
  <c r="K17" i="1"/>
  <c r="L17" i="1" s="1"/>
  <c r="U31" i="1"/>
  <c r="T31" i="1"/>
  <c r="P14" i="1"/>
  <c r="C16" i="1"/>
  <c r="K25" i="1"/>
  <c r="K16" i="1"/>
  <c r="L16" i="1" s="1"/>
  <c r="P15" i="1" s="1"/>
  <c r="P16" i="1" l="1"/>
  <c r="B20" i="1"/>
  <c r="B19" i="1"/>
  <c r="C18" i="1"/>
  <c r="K18" i="1"/>
  <c r="L18" i="1" s="1"/>
  <c r="P17" i="1" s="1"/>
  <c r="C19" i="1" l="1"/>
  <c r="K19" i="1"/>
  <c r="L19" i="1" s="1"/>
  <c r="P18" i="1" s="1"/>
  <c r="B21" i="1"/>
  <c r="C20" i="1"/>
  <c r="K20" i="1"/>
  <c r="L20" i="1" s="1"/>
  <c r="C21" i="1" l="1"/>
  <c r="B22" i="1"/>
  <c r="K21" i="1"/>
  <c r="L21" i="1" s="1"/>
  <c r="P20" i="1" s="1"/>
  <c r="P19" i="1"/>
  <c r="C22" i="1" l="1"/>
  <c r="K22" i="1"/>
  <c r="L22" i="1" s="1"/>
  <c r="P22" i="1" l="1"/>
  <c r="P21" i="1"/>
  <c r="B3" i="2" l="1"/>
  <c r="M3" i="2" l="1"/>
  <c r="B4" i="2"/>
  <c r="N3" i="2"/>
  <c r="B5" i="3"/>
  <c r="C5" i="3" s="1"/>
  <c r="B4" i="3"/>
  <c r="C4" i="3" s="1"/>
  <c r="B6" i="3"/>
  <c r="C6" i="3" s="1"/>
  <c r="B9" i="3"/>
  <c r="B13" i="3"/>
  <c r="B17" i="3" l="1"/>
  <c r="C17" i="3" s="1"/>
  <c r="F17" i="3"/>
  <c r="B18" i="3"/>
  <c r="F9" i="3"/>
  <c r="O9" i="3" s="1"/>
  <c r="C9" i="3"/>
  <c r="B10" i="3"/>
  <c r="C10" i="3" s="1"/>
  <c r="E4" i="3"/>
  <c r="H4" i="3"/>
  <c r="B11" i="3"/>
  <c r="E6" i="3"/>
  <c r="J6" i="3"/>
  <c r="B5" i="2"/>
  <c r="I4" i="2"/>
  <c r="C4" i="2"/>
  <c r="B7" i="3"/>
  <c r="C7" i="3" s="1"/>
  <c r="C13" i="3"/>
  <c r="F13" i="3"/>
  <c r="O13" i="3" s="1"/>
  <c r="B14" i="3"/>
  <c r="E5" i="3"/>
  <c r="I5" i="3"/>
  <c r="B21" i="3"/>
  <c r="F21" i="3" l="1"/>
  <c r="B22" i="3"/>
  <c r="C21" i="3"/>
  <c r="B15" i="3"/>
  <c r="C14" i="3"/>
  <c r="G4" i="2"/>
  <c r="F4" i="2"/>
  <c r="G6" i="3"/>
  <c r="AB5" i="3"/>
  <c r="AA4" i="3"/>
  <c r="AA5" i="3"/>
  <c r="AB4" i="3"/>
  <c r="C18" i="3"/>
  <c r="B19" i="3"/>
  <c r="E13" i="3"/>
  <c r="C11" i="3"/>
  <c r="B12" i="3"/>
  <c r="C12" i="3" s="1"/>
  <c r="P17" i="3"/>
  <c r="P9" i="3"/>
  <c r="P13" i="3"/>
  <c r="B8" i="3"/>
  <c r="C8" i="3" s="1"/>
  <c r="AA6" i="3"/>
  <c r="G5" i="3"/>
  <c r="AB6" i="3"/>
  <c r="E7" i="3"/>
  <c r="K7" i="3"/>
  <c r="C5" i="2"/>
  <c r="B6" i="2"/>
  <c r="I5" i="2"/>
  <c r="E9" i="3"/>
  <c r="M9" i="3"/>
  <c r="D14" i="3"/>
  <c r="E14" i="3" s="1"/>
  <c r="AB14" i="3" s="1"/>
  <c r="E17" i="3"/>
  <c r="B25" i="3"/>
  <c r="D12" i="3" l="1"/>
  <c r="E12" i="3" s="1"/>
  <c r="AB12" i="3" s="1"/>
  <c r="AA14" i="3"/>
  <c r="B16" i="3"/>
  <c r="C16" i="3" s="1"/>
  <c r="D16" i="3" s="1"/>
  <c r="E16" i="3" s="1"/>
  <c r="C15" i="3"/>
  <c r="D15" i="3" s="1"/>
  <c r="E15" i="3" s="1"/>
  <c r="AA15" i="3" s="1"/>
  <c r="AA7" i="3"/>
  <c r="G7" i="3"/>
  <c r="E8" i="3"/>
  <c r="AA8" i="3" s="1"/>
  <c r="L8" i="3"/>
  <c r="AA13" i="3"/>
  <c r="D18" i="3"/>
  <c r="E18" i="3" s="1"/>
  <c r="AA18" i="3" s="1"/>
  <c r="E21" i="3"/>
  <c r="G14" i="3"/>
  <c r="C6" i="2"/>
  <c r="B7" i="2"/>
  <c r="I6" i="2"/>
  <c r="C19" i="3"/>
  <c r="D19" i="3" s="1"/>
  <c r="E19" i="3" s="1"/>
  <c r="B20" i="3"/>
  <c r="C20" i="3" s="1"/>
  <c r="D20" i="3" s="1"/>
  <c r="E20" i="3" s="1"/>
  <c r="AB13" i="3"/>
  <c r="AB17" i="3"/>
  <c r="AB7" i="3"/>
  <c r="H4" i="2"/>
  <c r="B23" i="3"/>
  <c r="C22" i="3"/>
  <c r="Q9" i="3"/>
  <c r="Q21" i="3"/>
  <c r="Q17" i="3"/>
  <c r="Q13" i="3"/>
  <c r="F25" i="3"/>
  <c r="C25" i="3"/>
  <c r="B26" i="3"/>
  <c r="G5" i="2"/>
  <c r="H5" i="2" s="1"/>
  <c r="F5" i="2"/>
  <c r="E11" i="3"/>
  <c r="G12" i="3" s="1"/>
  <c r="D10" i="3"/>
  <c r="E10" i="3" s="1"/>
  <c r="N11" i="3"/>
  <c r="AB9" i="3"/>
  <c r="B29" i="3"/>
  <c r="G13" i="3" l="1"/>
  <c r="F29" i="3"/>
  <c r="B30" i="3"/>
  <c r="C29" i="3"/>
  <c r="G19" i="3"/>
  <c r="AA20" i="3"/>
  <c r="AB19" i="3"/>
  <c r="AA9" i="3"/>
  <c r="G8" i="3"/>
  <c r="AB8" i="3"/>
  <c r="AA10" i="3"/>
  <c r="G10" i="3"/>
  <c r="AA11" i="3"/>
  <c r="AB10" i="3"/>
  <c r="C26" i="3"/>
  <c r="B27" i="3"/>
  <c r="B24" i="3"/>
  <c r="C24" i="3" s="1"/>
  <c r="D24" i="3" s="1"/>
  <c r="C23" i="3"/>
  <c r="D23" i="3" s="1"/>
  <c r="E23" i="3" s="1"/>
  <c r="AA16" i="3"/>
  <c r="G15" i="3"/>
  <c r="AB15" i="3"/>
  <c r="AA12" i="3"/>
  <c r="G11" i="3"/>
  <c r="AB11" i="3"/>
  <c r="D22" i="3"/>
  <c r="E22" i="3" s="1"/>
  <c r="E25" i="3"/>
  <c r="B8" i="2"/>
  <c r="I7" i="2"/>
  <c r="C7" i="2"/>
  <c r="G21" i="3"/>
  <c r="AB21" i="3"/>
  <c r="G17" i="3"/>
  <c r="G16" i="3"/>
  <c r="AA17" i="3"/>
  <c r="AB16" i="3"/>
  <c r="G9" i="3"/>
  <c r="R13" i="3"/>
  <c r="R9" i="3"/>
  <c r="R25" i="3"/>
  <c r="R17" i="3"/>
  <c r="R21" i="3"/>
  <c r="AA21" i="3"/>
  <c r="G20" i="3"/>
  <c r="AB20" i="3"/>
  <c r="F6" i="2"/>
  <c r="G6" i="2"/>
  <c r="H6" i="2" s="1"/>
  <c r="G18" i="3"/>
  <c r="AA19" i="3"/>
  <c r="AB18" i="3"/>
  <c r="B33" i="3"/>
  <c r="G23" i="3" l="1"/>
  <c r="AB23" i="3"/>
  <c r="C33" i="3"/>
  <c r="B34" i="3"/>
  <c r="F33" i="3"/>
  <c r="G7" i="2"/>
  <c r="F7" i="2"/>
  <c r="E29" i="3"/>
  <c r="D26" i="3"/>
  <c r="E26" i="3" s="1"/>
  <c r="AA26" i="3" s="1"/>
  <c r="AB25" i="3"/>
  <c r="AD30" i="3" s="1"/>
  <c r="AD31" i="3" s="1"/>
  <c r="AD21" i="3"/>
  <c r="AD22" i="3" s="1"/>
  <c r="AD23" i="3" s="1"/>
  <c r="AD28" i="3" s="1"/>
  <c r="C30" i="3"/>
  <c r="B31" i="3"/>
  <c r="S21" i="3"/>
  <c r="S9" i="3"/>
  <c r="S29" i="3"/>
  <c r="S13" i="3"/>
  <c r="S17" i="3"/>
  <c r="S25" i="3"/>
  <c r="B9" i="2"/>
  <c r="I8" i="2"/>
  <c r="C8" i="2"/>
  <c r="AA22" i="3"/>
  <c r="AA23" i="3"/>
  <c r="G22" i="3"/>
  <c r="AB22" i="3"/>
  <c r="AD33" i="3"/>
  <c r="AD34" i="3" s="1"/>
  <c r="AD35" i="3" s="1"/>
  <c r="E24" i="3"/>
  <c r="AA24" i="3" s="1"/>
  <c r="H7" i="2"/>
  <c r="B28" i="3"/>
  <c r="C28" i="3" s="1"/>
  <c r="D28" i="3" s="1"/>
  <c r="E28" i="3" s="1"/>
  <c r="C27" i="3"/>
  <c r="D27" i="3" s="1"/>
  <c r="E27" i="3" s="1"/>
  <c r="B37" i="3"/>
  <c r="AA29" i="3" l="1"/>
  <c r="G28" i="3"/>
  <c r="AB28" i="3"/>
  <c r="T17" i="3"/>
  <c r="T13" i="3"/>
  <c r="T33" i="3"/>
  <c r="T9" i="3"/>
  <c r="T21" i="3"/>
  <c r="T25" i="3"/>
  <c r="T29" i="3"/>
  <c r="B10" i="2"/>
  <c r="I9" i="2"/>
  <c r="C9" i="2"/>
  <c r="G29" i="3"/>
  <c r="AB29" i="3"/>
  <c r="F37" i="3"/>
  <c r="C37" i="3"/>
  <c r="B38" i="3"/>
  <c r="G27" i="3"/>
  <c r="AA28" i="3"/>
  <c r="AB27" i="3"/>
  <c r="G25" i="3"/>
  <c r="AA25" i="3"/>
  <c r="G24" i="3"/>
  <c r="AB24" i="3"/>
  <c r="G8" i="2"/>
  <c r="F8" i="2"/>
  <c r="AA27" i="3"/>
  <c r="G26" i="3"/>
  <c r="AB26" i="3"/>
  <c r="B35" i="3"/>
  <c r="C34" i="3"/>
  <c r="C31" i="3"/>
  <c r="D31" i="3" s="1"/>
  <c r="E31" i="3" s="1"/>
  <c r="B32" i="3"/>
  <c r="C32" i="3" s="1"/>
  <c r="D32" i="3" s="1"/>
  <c r="E32" i="3" s="1"/>
  <c r="H8" i="2"/>
  <c r="D30" i="3"/>
  <c r="E30" i="3" s="1"/>
  <c r="E33" i="3"/>
  <c r="B41" i="3"/>
  <c r="B45" i="3"/>
  <c r="G32" i="3" l="1"/>
  <c r="AA33" i="3"/>
  <c r="AB32" i="3"/>
  <c r="U29" i="3"/>
  <c r="U17" i="3"/>
  <c r="U9" i="3"/>
  <c r="U13" i="3"/>
  <c r="U37" i="3"/>
  <c r="U21" i="3"/>
  <c r="U33" i="3"/>
  <c r="U25" i="3"/>
  <c r="AA30" i="3"/>
  <c r="AA31" i="3"/>
  <c r="G30" i="3"/>
  <c r="AB30" i="3"/>
  <c r="AA32" i="3"/>
  <c r="G31" i="3"/>
  <c r="AB31" i="3"/>
  <c r="V17" i="3"/>
  <c r="V21" i="3"/>
  <c r="V29" i="3"/>
  <c r="V37" i="3"/>
  <c r="V13" i="3"/>
  <c r="V9" i="3"/>
  <c r="V25" i="3"/>
  <c r="V33" i="3"/>
  <c r="B42" i="3"/>
  <c r="F41" i="3"/>
  <c r="V41" i="3" s="1"/>
  <c r="C41" i="3"/>
  <c r="I10" i="2"/>
  <c r="C10" i="2"/>
  <c r="B11" i="2"/>
  <c r="B36" i="3"/>
  <c r="C36" i="3" s="1"/>
  <c r="D36" i="3" s="1"/>
  <c r="E36" i="3" s="1"/>
  <c r="C35" i="3"/>
  <c r="D35" i="3" s="1"/>
  <c r="E35" i="3" s="1"/>
  <c r="B39" i="3"/>
  <c r="C38" i="3"/>
  <c r="F45" i="3"/>
  <c r="C45" i="3"/>
  <c r="E45" i="3" s="1"/>
  <c r="B46" i="3"/>
  <c r="G33" i="3"/>
  <c r="AB33" i="3"/>
  <c r="D34" i="3"/>
  <c r="E34" i="3" s="1"/>
  <c r="AA34" i="3" s="1"/>
  <c r="E37" i="3"/>
  <c r="F9" i="2"/>
  <c r="G9" i="2"/>
  <c r="H9" i="2" s="1"/>
  <c r="B53" i="3"/>
  <c r="I11" i="2" l="1"/>
  <c r="C11" i="2"/>
  <c r="B12" i="2"/>
  <c r="G37" i="3"/>
  <c r="AB37" i="3"/>
  <c r="G34" i="3"/>
  <c r="AA35" i="3"/>
  <c r="AB34" i="3"/>
  <c r="C46" i="3"/>
  <c r="B47" i="3"/>
  <c r="G35" i="3"/>
  <c r="AA36" i="3"/>
  <c r="AB35" i="3"/>
  <c r="F10" i="2"/>
  <c r="G10" i="2"/>
  <c r="H10" i="2" s="1"/>
  <c r="E41" i="3"/>
  <c r="D38" i="3"/>
  <c r="E38" i="3" s="1"/>
  <c r="AA38" i="3" s="1"/>
  <c r="W41" i="3"/>
  <c r="W45" i="3"/>
  <c r="W25" i="3"/>
  <c r="W37" i="3"/>
  <c r="W29" i="3"/>
  <c r="W9" i="3"/>
  <c r="W33" i="3"/>
  <c r="W17" i="3"/>
  <c r="W21" i="3"/>
  <c r="W13" i="3"/>
  <c r="C53" i="3"/>
  <c r="B54" i="3"/>
  <c r="AB45" i="3"/>
  <c r="G36" i="3"/>
  <c r="AA37" i="3"/>
  <c r="AB36" i="3"/>
  <c r="B40" i="3"/>
  <c r="C40" i="3" s="1"/>
  <c r="D40" i="3" s="1"/>
  <c r="E40" i="3" s="1"/>
  <c r="C39" i="3"/>
  <c r="D39" i="3" s="1"/>
  <c r="E39" i="3" s="1"/>
  <c r="B43" i="3"/>
  <c r="C42" i="3"/>
  <c r="D42" i="3" s="1"/>
  <c r="E42" i="3" s="1"/>
  <c r="B65" i="3"/>
  <c r="AA41" i="3" l="1"/>
  <c r="G40" i="3"/>
  <c r="AB40" i="3"/>
  <c r="X25" i="3"/>
  <c r="X21" i="3"/>
  <c r="X45" i="3"/>
  <c r="X17" i="3"/>
  <c r="X13" i="3"/>
  <c r="X41" i="3"/>
  <c r="X29" i="3"/>
  <c r="X9" i="3"/>
  <c r="X37" i="3"/>
  <c r="X33" i="3"/>
  <c r="C65" i="3"/>
  <c r="G42" i="3"/>
  <c r="AB42" i="3"/>
  <c r="AA42" i="3"/>
  <c r="G41" i="3"/>
  <c r="AB41" i="3"/>
  <c r="B44" i="3"/>
  <c r="C44" i="3" s="1"/>
  <c r="D44" i="3" s="1"/>
  <c r="E44" i="3" s="1"/>
  <c r="C43" i="3"/>
  <c r="D43" i="3" s="1"/>
  <c r="E43" i="3" s="1"/>
  <c r="AA43" i="3" s="1"/>
  <c r="AA40" i="3"/>
  <c r="G39" i="3"/>
  <c r="AB39" i="3"/>
  <c r="B55" i="3"/>
  <c r="C54" i="3"/>
  <c r="G38" i="3"/>
  <c r="AA39" i="3"/>
  <c r="AB38" i="3"/>
  <c r="C47" i="3"/>
  <c r="D47" i="3" s="1"/>
  <c r="E47" i="3" s="1"/>
  <c r="B48" i="3"/>
  <c r="C12" i="2"/>
  <c r="I12" i="2"/>
  <c r="B13" i="2"/>
  <c r="D46" i="3"/>
  <c r="E46" i="3" s="1"/>
  <c r="E53" i="3"/>
  <c r="G11" i="2"/>
  <c r="H11" i="2" s="1"/>
  <c r="F11" i="2"/>
  <c r="AB53" i="3" l="1"/>
  <c r="F12" i="2"/>
  <c r="G12" i="2"/>
  <c r="H12" i="2" s="1"/>
  <c r="AA45" i="3"/>
  <c r="G44" i="3"/>
  <c r="AB44" i="3"/>
  <c r="G45" i="3"/>
  <c r="E65" i="3"/>
  <c r="D54" i="3"/>
  <c r="E54" i="3" s="1"/>
  <c r="Y29" i="3"/>
  <c r="Y25" i="3"/>
  <c r="Y41" i="3"/>
  <c r="Y45" i="3"/>
  <c r="Y17" i="3"/>
  <c r="Y37" i="3"/>
  <c r="Y9" i="3"/>
  <c r="Y13" i="3"/>
  <c r="Y33" i="3"/>
  <c r="Y21" i="3"/>
  <c r="AA46" i="3"/>
  <c r="G46" i="3"/>
  <c r="AA47" i="3"/>
  <c r="AB46" i="3"/>
  <c r="B49" i="3"/>
  <c r="C48" i="3"/>
  <c r="D48" i="3" s="1"/>
  <c r="E48" i="3" s="1"/>
  <c r="AA48" i="3" s="1"/>
  <c r="B14" i="2"/>
  <c r="I13" i="2"/>
  <c r="C13" i="2"/>
  <c r="G47" i="3"/>
  <c r="AB47" i="3"/>
  <c r="B56" i="3"/>
  <c r="C55" i="3"/>
  <c r="D55" i="3" s="1"/>
  <c r="E55" i="3" s="1"/>
  <c r="G43" i="3"/>
  <c r="AA44" i="3"/>
  <c r="AB43" i="3"/>
  <c r="C56" i="3" l="1"/>
  <c r="D56" i="3" s="1"/>
  <c r="E56" i="3" s="1"/>
  <c r="B57" i="3"/>
  <c r="F13" i="2"/>
  <c r="G13" i="2"/>
  <c r="H13" i="2" s="1"/>
  <c r="C49" i="3"/>
  <c r="D49" i="3" s="1"/>
  <c r="E49" i="3" s="1"/>
  <c r="AA49" i="3" s="1"/>
  <c r="B50" i="3"/>
  <c r="F49" i="3"/>
  <c r="F53" i="3"/>
  <c r="AA55" i="3"/>
  <c r="G54" i="3"/>
  <c r="AB54" i="3"/>
  <c r="I14" i="2"/>
  <c r="B15" i="2"/>
  <c r="C14" i="2"/>
  <c r="G55" i="3"/>
  <c r="AA56" i="3"/>
  <c r="AB55" i="3"/>
  <c r="G48" i="3"/>
  <c r="AB48" i="3"/>
  <c r="AA54" i="3"/>
  <c r="X53" i="3" l="1"/>
  <c r="Y53" i="3"/>
  <c r="X49" i="3"/>
  <c r="Y49" i="3"/>
  <c r="G14" i="2"/>
  <c r="H14" i="2" s="1"/>
  <c r="F14" i="2"/>
  <c r="C50" i="3"/>
  <c r="D50" i="3" s="1"/>
  <c r="E50" i="3" s="1"/>
  <c r="B51" i="3"/>
  <c r="F57" i="3"/>
  <c r="Y57" i="3" s="1"/>
  <c r="C57" i="3"/>
  <c r="D57" i="3" s="1"/>
  <c r="E57" i="3" s="1"/>
  <c r="B58" i="3"/>
  <c r="C15" i="2"/>
  <c r="B16" i="2"/>
  <c r="I15" i="2"/>
  <c r="G49" i="3"/>
  <c r="AB49" i="3"/>
  <c r="G65" i="3"/>
  <c r="G56" i="3"/>
  <c r="AA57" i="3"/>
  <c r="AB56" i="3"/>
  <c r="G57" i="3" l="1"/>
  <c r="AB57" i="3"/>
  <c r="B17" i="2"/>
  <c r="I16" i="2"/>
  <c r="C16" i="2"/>
  <c r="G15" i="2"/>
  <c r="H15" i="2" s="1"/>
  <c r="F15" i="2"/>
  <c r="B52" i="3"/>
  <c r="C52" i="3" s="1"/>
  <c r="D52" i="3" s="1"/>
  <c r="E52" i="3" s="1"/>
  <c r="C51" i="3"/>
  <c r="D51" i="3" s="1"/>
  <c r="E51" i="3" s="1"/>
  <c r="C58" i="3"/>
  <c r="D58" i="3" s="1"/>
  <c r="E58" i="3" s="1"/>
  <c r="B59" i="3"/>
  <c r="AA50" i="3"/>
  <c r="G50" i="3"/>
  <c r="AA51" i="3"/>
  <c r="AB50" i="3"/>
  <c r="B60" i="3" l="1"/>
  <c r="C59" i="3"/>
  <c r="D59" i="3" s="1"/>
  <c r="E59" i="3" s="1"/>
  <c r="C17" i="2"/>
  <c r="B18" i="2"/>
  <c r="I17" i="2"/>
  <c r="AA58" i="3"/>
  <c r="G58" i="3"/>
  <c r="AB58" i="3"/>
  <c r="AA52" i="3"/>
  <c r="G51" i="3"/>
  <c r="AB51" i="3"/>
  <c r="F16" i="2"/>
  <c r="G16" i="2"/>
  <c r="G52" i="3"/>
  <c r="AA53" i="3"/>
  <c r="AB52" i="3"/>
  <c r="G53" i="3"/>
  <c r="G59" i="3" l="1"/>
  <c r="AB59" i="3"/>
  <c r="AA59" i="3"/>
  <c r="B61" i="3"/>
  <c r="C60" i="3"/>
  <c r="D60" i="3" s="1"/>
  <c r="E60" i="3" s="1"/>
  <c r="C18" i="2"/>
  <c r="B19" i="2"/>
  <c r="I18" i="2"/>
  <c r="H16" i="2"/>
  <c r="F17" i="2"/>
  <c r="G17" i="2"/>
  <c r="H17" i="2" s="1"/>
  <c r="F61" i="3" l="1"/>
  <c r="Y61" i="3" s="1"/>
  <c r="B62" i="3"/>
  <c r="C61" i="3"/>
  <c r="D61" i="3" s="1"/>
  <c r="E61" i="3" s="1"/>
  <c r="F65" i="3"/>
  <c r="Y65" i="3" s="1"/>
  <c r="G60" i="3"/>
  <c r="AB60" i="3"/>
  <c r="I19" i="2"/>
  <c r="C19" i="2"/>
  <c r="B20" i="2"/>
  <c r="F18" i="2"/>
  <c r="G18" i="2"/>
  <c r="H18" i="2" s="1"/>
  <c r="AA60" i="3"/>
  <c r="C62" i="3" l="1"/>
  <c r="D62" i="3" s="1"/>
  <c r="E62" i="3" s="1"/>
  <c r="B63" i="3"/>
  <c r="F62" i="3"/>
  <c r="I20" i="2"/>
  <c r="C20" i="2"/>
  <c r="B21" i="2"/>
  <c r="F19" i="2"/>
  <c r="G19" i="2"/>
  <c r="H19" i="2" s="1"/>
  <c r="AA61" i="3"/>
  <c r="G61" i="3"/>
  <c r="AB61" i="3"/>
  <c r="I21" i="2" l="1"/>
  <c r="C21" i="2"/>
  <c r="B22" i="2"/>
  <c r="G20" i="2"/>
  <c r="H20" i="2" s="1"/>
  <c r="F20" i="2"/>
  <c r="F63" i="3"/>
  <c r="C63" i="3"/>
  <c r="D63" i="3" s="1"/>
  <c r="E63" i="3" s="1"/>
  <c r="AA63" i="3" s="1"/>
  <c r="B64" i="3"/>
  <c r="AA62" i="3"/>
  <c r="G62" i="3"/>
  <c r="AB62" i="3"/>
  <c r="G63" i="3" l="1"/>
  <c r="AB63" i="3"/>
  <c r="I22" i="2"/>
  <c r="C22" i="2"/>
  <c r="B23" i="2"/>
  <c r="G21" i="2"/>
  <c r="F21" i="2"/>
  <c r="F64" i="3"/>
  <c r="C64" i="3"/>
  <c r="D64" i="3" s="1"/>
  <c r="E64" i="3" s="1"/>
  <c r="L44" i="1"/>
  <c r="L46" i="1"/>
  <c r="L51" i="1"/>
  <c r="L48" i="1"/>
  <c r="L45" i="1"/>
  <c r="L47" i="1"/>
  <c r="L49" i="1"/>
  <c r="L52" i="1"/>
  <c r="L54" i="1"/>
  <c r="L50" i="1"/>
  <c r="G22" i="2" l="1"/>
  <c r="F22" i="2"/>
  <c r="AA64" i="3"/>
  <c r="G64" i="3"/>
  <c r="AB64" i="3"/>
  <c r="I66" i="3"/>
  <c r="I68" i="3" s="1"/>
  <c r="J66" i="3"/>
  <c r="J68" i="3" s="1"/>
  <c r="O66" i="3"/>
  <c r="O68" i="3" s="1"/>
  <c r="R66" i="3"/>
  <c r="R68" i="3" s="1"/>
  <c r="T66" i="3"/>
  <c r="T68" i="3" s="1"/>
  <c r="N66" i="3"/>
  <c r="N68" i="3" s="1"/>
  <c r="S66" i="3"/>
  <c r="S68" i="3" s="1"/>
  <c r="Q66" i="3"/>
  <c r="Q68" i="3" s="1"/>
  <c r="K66" i="3"/>
  <c r="K68" i="3" s="1"/>
  <c r="M66" i="3"/>
  <c r="M68" i="3" s="1"/>
  <c r="P66" i="3"/>
  <c r="P68" i="3" s="1"/>
  <c r="L66" i="3"/>
  <c r="L68" i="3" s="1"/>
  <c r="U66" i="3"/>
  <c r="U68" i="3" s="1"/>
  <c r="H66" i="3"/>
  <c r="H68" i="3" s="1"/>
  <c r="V66" i="3"/>
  <c r="V68" i="3" s="1"/>
  <c r="X66" i="3"/>
  <c r="X68" i="3" s="1"/>
  <c r="W66" i="3"/>
  <c r="W68" i="3" s="1"/>
  <c r="Y66" i="3"/>
  <c r="Y68" i="3" s="1"/>
  <c r="H21" i="2"/>
  <c r="H22" i="2"/>
  <c r="I23" i="2"/>
  <c r="C23" i="2"/>
  <c r="B24" i="2"/>
  <c r="L53" i="1"/>
  <c r="F23" i="2" l="1"/>
  <c r="G23" i="2"/>
  <c r="B25" i="2"/>
  <c r="I24" i="2"/>
  <c r="C24" i="2"/>
  <c r="I25" i="2" l="1"/>
  <c r="C25" i="2"/>
  <c r="B26" i="2"/>
  <c r="H23" i="2"/>
  <c r="G24" i="2"/>
  <c r="F24" i="2"/>
  <c r="B27" i="2" l="1"/>
  <c r="I26" i="2"/>
  <c r="C26" i="2"/>
  <c r="G25" i="2"/>
  <c r="F25" i="2"/>
  <c r="H24" i="2"/>
  <c r="G26" i="2" l="1"/>
  <c r="F26" i="2"/>
  <c r="H25" i="2"/>
  <c r="B28" i="2"/>
  <c r="I27" i="2"/>
  <c r="C27" i="2"/>
  <c r="F27" i="2" l="1"/>
  <c r="G27" i="2"/>
  <c r="H27" i="2"/>
  <c r="I28" i="2"/>
  <c r="C28" i="2"/>
  <c r="B29" i="2"/>
  <c r="H26" i="2"/>
  <c r="C29" i="2" l="1"/>
  <c r="B30" i="2"/>
  <c r="I29" i="2"/>
  <c r="G28" i="2"/>
  <c r="H28" i="2" s="1"/>
  <c r="F28" i="2"/>
  <c r="B31" i="2" l="1"/>
  <c r="I30" i="2"/>
  <c r="C30" i="2"/>
  <c r="G29" i="2"/>
  <c r="H29" i="2" s="1"/>
  <c r="F29" i="2"/>
  <c r="G30" i="2" l="1"/>
  <c r="H30" i="2" s="1"/>
  <c r="F30" i="2"/>
  <c r="B32" i="2"/>
  <c r="I31" i="2"/>
  <c r="C31" i="2"/>
  <c r="C32" i="2" l="1"/>
  <c r="B33" i="2"/>
  <c r="I32" i="2"/>
  <c r="F31" i="2"/>
  <c r="G31" i="2"/>
  <c r="C33" i="2" l="1"/>
  <c r="B34" i="2"/>
  <c r="I33" i="2"/>
  <c r="H31" i="2"/>
  <c r="G32" i="2"/>
  <c r="F32" i="2"/>
  <c r="C34" i="2" l="1"/>
  <c r="B35" i="2"/>
  <c r="I34" i="2"/>
  <c r="H32" i="2"/>
  <c r="G33" i="2"/>
  <c r="F33" i="2"/>
  <c r="C35" i="2" l="1"/>
  <c r="B36" i="2"/>
  <c r="I35" i="2"/>
  <c r="F34" i="2"/>
  <c r="G34" i="2"/>
  <c r="H34" i="2" s="1"/>
  <c r="H33" i="2"/>
  <c r="C36" i="2" l="1"/>
  <c r="I36" i="2"/>
  <c r="B37" i="2"/>
  <c r="F35" i="2"/>
  <c r="G35" i="2"/>
  <c r="H35" i="2" s="1"/>
  <c r="C37" i="2" l="1"/>
  <c r="B38" i="2"/>
  <c r="I37" i="2"/>
  <c r="F36" i="2"/>
  <c r="G36" i="2"/>
  <c r="I38" i="2" l="1"/>
  <c r="C38" i="2"/>
  <c r="B39" i="2"/>
  <c r="H36" i="2"/>
  <c r="F37" i="2"/>
  <c r="G37" i="2"/>
  <c r="H37" i="2" s="1"/>
  <c r="F38" i="2" l="1"/>
  <c r="G38" i="2"/>
  <c r="H38" i="2" s="1"/>
  <c r="C39" i="2"/>
  <c r="B40" i="2"/>
  <c r="I39" i="2"/>
  <c r="B41" i="2" l="1"/>
  <c r="I40" i="2"/>
  <c r="C40" i="2"/>
  <c r="G39" i="2"/>
  <c r="H39" i="2" s="1"/>
  <c r="F39" i="2"/>
  <c r="G40" i="2" l="1"/>
  <c r="H40" i="2" s="1"/>
  <c r="F40" i="2"/>
  <c r="I41" i="2"/>
  <c r="B42" i="2"/>
  <c r="C41" i="2"/>
  <c r="B43" i="2" l="1"/>
  <c r="I42" i="2"/>
  <c r="C42" i="2"/>
  <c r="G41" i="2"/>
  <c r="F41" i="2"/>
  <c r="H41" i="2" l="1"/>
  <c r="F42" i="2"/>
  <c r="G42" i="2"/>
  <c r="H42" i="2" s="1"/>
  <c r="C43" i="2"/>
  <c r="I43" i="2"/>
  <c r="G43" i="2" l="1"/>
  <c r="H43" i="2" s="1"/>
  <c r="F43" i="2"/>
  <c r="J45" i="2" l="1"/>
  <c r="J47" i="2" s="1"/>
  <c r="L45" i="2"/>
  <c r="L47" i="2" s="1"/>
  <c r="M45" i="2"/>
  <c r="M47" i="2" s="1"/>
  <c r="N45" i="2"/>
  <c r="N47" i="2" s="1"/>
  <c r="K45" i="2"/>
  <c r="K47" i="2" s="1"/>
</calcChain>
</file>

<file path=xl/sharedStrings.xml><?xml version="1.0" encoding="utf-8"?>
<sst xmlns="http://schemas.openxmlformats.org/spreadsheetml/2006/main" count="307" uniqueCount="247">
  <si>
    <t>SPOT SET</t>
  </si>
  <si>
    <t>USDCOP</t>
  </si>
  <si>
    <t>SWAP O/N</t>
  </si>
  <si>
    <t>UVR</t>
  </si>
  <si>
    <t>Mercado</t>
  </si>
  <si>
    <t>MKT</t>
  </si>
  <si>
    <t>Teórico</t>
  </si>
  <si>
    <t>CLSWIB</t>
  </si>
  <si>
    <t>USSW</t>
  </si>
  <si>
    <t>CLBSIB</t>
  </si>
  <si>
    <t>CLSWU</t>
  </si>
  <si>
    <t>CLSWR</t>
  </si>
  <si>
    <t>PROPIO</t>
  </si>
  <si>
    <t>SWAP RATES</t>
  </si>
  <si>
    <t>Ingreso manual</t>
  </si>
  <si>
    <t>Garb Index</t>
  </si>
  <si>
    <t>Tdco Index</t>
  </si>
  <si>
    <t>Index</t>
  </si>
  <si>
    <t>AÑOS</t>
  </si>
  <si>
    <t>IBR</t>
  </si>
  <si>
    <t>LIBOR</t>
  </si>
  <si>
    <t>BASIS 3M-6M LIBOR</t>
  </si>
  <si>
    <t>BASIS 3M IBR-3M LIBOR</t>
  </si>
  <si>
    <t>CCS MKT</t>
  </si>
  <si>
    <t>CCS LIB 3M</t>
  </si>
  <si>
    <t>CCS LIB 6M</t>
  </si>
  <si>
    <t>Puntos</t>
  </si>
  <si>
    <t>Dev</t>
  </si>
  <si>
    <t>UVR-LIB</t>
  </si>
  <si>
    <t>UVR-IBR</t>
  </si>
  <si>
    <t>CDS</t>
  </si>
  <si>
    <t>Grad</t>
  </si>
  <si>
    <t>OIS</t>
  </si>
  <si>
    <t>IBR PROPIO</t>
  </si>
  <si>
    <t>CCBS_PROPIO</t>
  </si>
  <si>
    <t>px_mid</t>
  </si>
  <si>
    <t>CHG_NET_1D</t>
  </si>
  <si>
    <t>1d</t>
  </si>
  <si>
    <t>1m</t>
  </si>
  <si>
    <t>A</t>
  </si>
  <si>
    <t>3m</t>
  </si>
  <si>
    <t>C</t>
  </si>
  <si>
    <t>6m</t>
  </si>
  <si>
    <t>F</t>
  </si>
  <si>
    <t>9m</t>
  </si>
  <si>
    <t>I</t>
  </si>
  <si>
    <t>1y</t>
  </si>
  <si>
    <t>18m</t>
  </si>
  <si>
    <t>1F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</si>
  <si>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</si>
  <si>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</si>
  <si>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</si>
  <si>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</si>
  <si>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</si>
  <si>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</si>
  <si>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</si>
  <si>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</si>
  <si>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</si>
  <si>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</si>
  <si>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</si>
  <si>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Fecha</t>
  </si>
  <si>
    <t>Memo Divisas</t>
  </si>
  <si>
    <t>PUNTOS FORWARD</t>
  </si>
  <si>
    <t>BID</t>
  </si>
  <si>
    <t>ASK</t>
  </si>
  <si>
    <t>Plazo</t>
  </si>
  <si>
    <t>Días</t>
  </si>
  <si>
    <t>Puntos ICAP</t>
  </si>
  <si>
    <t>Puntod MKT</t>
  </si>
  <si>
    <t>Spreads T</t>
  </si>
  <si>
    <t>Spreads MKT</t>
  </si>
  <si>
    <t>Imp LIBOR Spot</t>
  </si>
  <si>
    <t>Libor Spot</t>
  </si>
  <si>
    <t>Spread</t>
  </si>
  <si>
    <t>Imp IBR Spot</t>
  </si>
  <si>
    <t>TES</t>
  </si>
  <si>
    <t>COP</t>
  </si>
  <si>
    <t>TASA FWD</t>
  </si>
  <si>
    <t>4x1000</t>
  </si>
  <si>
    <t>Con Tax</t>
  </si>
  <si>
    <t>Sin Tax</t>
  </si>
  <si>
    <t>2Y</t>
  </si>
  <si>
    <t>1M</t>
  </si>
  <si>
    <t>3Y</t>
  </si>
  <si>
    <t>2m</t>
  </si>
  <si>
    <t>1x2</t>
  </si>
  <si>
    <t>4Y</t>
  </si>
  <si>
    <t>1x3</t>
  </si>
  <si>
    <t>5Y</t>
  </si>
  <si>
    <t>1x6</t>
  </si>
  <si>
    <t>1x9</t>
  </si>
  <si>
    <t>1x12</t>
  </si>
  <si>
    <t>1x18</t>
  </si>
  <si>
    <t>1x24</t>
  </si>
  <si>
    <t>1w</t>
  </si>
  <si>
    <t>2w</t>
  </si>
  <si>
    <t>IMM</t>
  </si>
  <si>
    <t>ROLL</t>
  </si>
  <si>
    <t>CPN</t>
  </si>
  <si>
    <t>PREV_CPN_DT</t>
  </si>
  <si>
    <t>MATURITY</t>
  </si>
  <si>
    <t>PX_LAST</t>
  </si>
  <si>
    <t>Years to MAT</t>
  </si>
  <si>
    <t>Accrued</t>
  </si>
  <si>
    <t>Dirty Price</t>
  </si>
  <si>
    <t>LAST_YLD</t>
  </si>
  <si>
    <t>Y_PROPIO</t>
  </si>
  <si>
    <t>P_LIMPIO PROPIO</t>
  </si>
  <si>
    <t>COLTES 13.5 09/12/2014 Govt</t>
  </si>
  <si>
    <t>COLTES 8 10/28/2015 Govt</t>
  </si>
  <si>
    <t>COLTES 7.25 06/15/2016 Govt</t>
  </si>
  <si>
    <t>COLTES 11.25 10/24/2018 Govt</t>
  </si>
  <si>
    <t>COLTES 5 11/21/2018 Govt</t>
  </si>
  <si>
    <t>COLTES 7 09/11/2019 Govt</t>
  </si>
  <si>
    <t>COLTES 11 07/24/2020 Govt</t>
  </si>
  <si>
    <t>COLTES 7 05/04/2022 Govt</t>
  </si>
  <si>
    <t>COLTES 10 07/24/2024 Govt</t>
  </si>
  <si>
    <t>COLTES 7.5 08/26/2026 Govt</t>
  </si>
  <si>
    <t>COLTES 6 04/28/2028 Govt</t>
  </si>
  <si>
    <t>Corp COP IPC</t>
  </si>
  <si>
    <t>DAVIVIENDA IPC 2022</t>
  </si>
  <si>
    <t>EJ152161 Corp</t>
  </si>
  <si>
    <t>DAVIVIENDA IPC 2025</t>
  </si>
  <si>
    <t>EK754610 Corp</t>
  </si>
  <si>
    <t>DAVIVIENDA IPC 2028</t>
  </si>
  <si>
    <t>EJ565040 Corp</t>
  </si>
  <si>
    <t>ISA IPC 2022</t>
  </si>
  <si>
    <t>EJ707158 Corp</t>
  </si>
  <si>
    <t>ISA IPC 2028</t>
  </si>
  <si>
    <t>EJ707188 Corp</t>
  </si>
  <si>
    <t>ARGOS IPC 2019</t>
  </si>
  <si>
    <t>EK492503 Corp</t>
  </si>
  <si>
    <t>ARGOS IPC 2027</t>
  </si>
  <si>
    <t>EJ203721 Corp</t>
  </si>
  <si>
    <t>OCCIDENTE IPC 2025</t>
  </si>
  <si>
    <t>EJ539395 Corp</t>
  </si>
  <si>
    <t>Corp COP TF</t>
  </si>
  <si>
    <t>DAVIVIENDA 2018</t>
  </si>
  <si>
    <t>EK754604 Corp</t>
  </si>
  <si>
    <t>SOBERANOS USD</t>
  </si>
  <si>
    <t>COLOM 8.25 12/22/2014 Govt</t>
  </si>
  <si>
    <t>COLOM 8.7 02/15/2016 Govt</t>
  </si>
  <si>
    <t>COLOM 7.375 01/27/2017 Govt</t>
  </si>
  <si>
    <t>COLOM 7.375 03/18/2019 Govt</t>
  </si>
  <si>
    <t>COLOM 8.125 05/21/2024 Govt</t>
  </si>
  <si>
    <t>BRAZIL 6 01/17/2017 Govt</t>
  </si>
  <si>
    <t>FED REPUBLIC OF BRAZIL</t>
  </si>
  <si>
    <t>BRAZIL 5.875 01/15/2019 Govt</t>
  </si>
  <si>
    <t>BRAZIL 4.875 01/22/2021 Govt</t>
  </si>
  <si>
    <t>BRAZIL 2.625 01/05/2023 Govt</t>
  </si>
  <si>
    <t>BRAZIL 4.25 01/07/2025 Govt</t>
  </si>
  <si>
    <t>EF312914 Corp</t>
  </si>
  <si>
    <t>UNITED MEXICAN STATES</t>
  </si>
  <si>
    <t>EC366269 Corp</t>
  </si>
  <si>
    <t>EI937368 Corp</t>
  </si>
  <si>
    <t>EJ851233 Corp</t>
  </si>
  <si>
    <t>EI217799 Corp</t>
  </si>
  <si>
    <t>REPUBLIC OF CHILE</t>
  </si>
  <si>
    <t>EJ421300 Corp</t>
  </si>
  <si>
    <t>EH770437 Corp</t>
  </si>
  <si>
    <t>REPUBLIC OF PERU</t>
  </si>
  <si>
    <t>EF021147 Corp</t>
  </si>
  <si>
    <t>CORPORATIVOS USD</t>
  </si>
  <si>
    <t>BANCOLOMBIA</t>
  </si>
  <si>
    <t>EG468041 Corp</t>
  </si>
  <si>
    <t>EI323350 Corp</t>
  </si>
  <si>
    <t>EI691146 Corp</t>
  </si>
  <si>
    <t>EJ380584 Corp</t>
  </si>
  <si>
    <t>ECOPETROL</t>
  </si>
  <si>
    <t>EH909778 Corp</t>
  </si>
  <si>
    <t>GRUPO AVAL</t>
  </si>
  <si>
    <t>EJ001101 Corp</t>
  </si>
  <si>
    <t>EJ373411 Corp</t>
  </si>
  <si>
    <t>BANCO DE BOGOTA</t>
  </si>
  <si>
    <t>EI907269 Corp</t>
  </si>
  <si>
    <t>EJ553306 Corp</t>
  </si>
  <si>
    <t>BANCO DAVIVIENDA</t>
  </si>
  <si>
    <t>EJ527354 Corp</t>
  </si>
  <si>
    <t>EJ263276 Corp</t>
  </si>
  <si>
    <t>GRUPOSURA</t>
  </si>
  <si>
    <t>EI675437 Corp</t>
  </si>
  <si>
    <t>EPM</t>
  </si>
  <si>
    <t>EH915635 Corp</t>
  </si>
  <si>
    <t>SANTANDER BRASIL</t>
  </si>
  <si>
    <t>EI535120 Corp</t>
  </si>
  <si>
    <t>ITAU</t>
  </si>
  <si>
    <t>EI410312 Corp</t>
  </si>
  <si>
    <t>EI711914 Corp</t>
  </si>
  <si>
    <t>BTG CAYMAN</t>
  </si>
  <si>
    <t>EI733866 Corp</t>
  </si>
  <si>
    <t>EJ509866 Corp</t>
  </si>
  <si>
    <t>BANCOMER</t>
  </si>
  <si>
    <t>EI600524 Corp</t>
  </si>
  <si>
    <t>EI225348 Corp</t>
  </si>
  <si>
    <t>EI600528 Corp</t>
  </si>
  <si>
    <t>BANCO DE CHILE</t>
  </si>
  <si>
    <t>EF486281 Corp</t>
  </si>
  <si>
    <t>SANTANDER CHILE</t>
  </si>
  <si>
    <t>EI408952 Corp</t>
  </si>
  <si>
    <t>CENCOSUD</t>
  </si>
  <si>
    <t>EI537978 Corp</t>
  </si>
  <si>
    <t>BCP</t>
  </si>
  <si>
    <t>EI609305 Corp</t>
  </si>
  <si>
    <t>EI402566 Corp</t>
  </si>
  <si>
    <t>AVIANCA</t>
  </si>
  <si>
    <t>EJ6655637 Corp</t>
  </si>
  <si>
    <t>PACIFIC RUBIALES</t>
  </si>
  <si>
    <t>EJ946415 Corp</t>
  </si>
  <si>
    <t>EI900340 Corp</t>
  </si>
  <si>
    <t>EJ608168 Corp</t>
  </si>
  <si>
    <t>EK496953 Corp</t>
  </si>
  <si>
    <t>EJ828285 Corp</t>
  </si>
  <si>
    <t>EK483779 Corp</t>
  </si>
  <si>
    <t>COLTES 7 02/25/2015 Govt</t>
  </si>
  <si>
    <t>COLTES 4.25 05/17/2017 Govt</t>
  </si>
  <si>
    <t>COLTES 3.5 04/17/2019 Govt</t>
  </si>
  <si>
    <t>COLTES 3.5 03/10/21 Govt</t>
  </si>
  <si>
    <t>COLTES 4.75 02/23/2023 Govt</t>
  </si>
  <si>
    <t>COLTES 3 03/25/2033 Govt</t>
  </si>
  <si>
    <t>Bond Cash Flows</t>
  </si>
  <si>
    <t>Node</t>
  </si>
  <si>
    <t>CF Dates</t>
  </si>
  <si>
    <t>Time (Act/365)</t>
  </si>
  <si>
    <t>Default Intensity</t>
  </si>
  <si>
    <t xml:space="preserve">Zero Bond </t>
  </si>
  <si>
    <r>
      <rPr>
        <b/>
        <sz val="10"/>
        <rFont val="Symbol"/>
        <family val="1"/>
        <charset val="2"/>
      </rPr>
      <t>D</t>
    </r>
    <r>
      <rPr>
        <b/>
        <sz val="10"/>
        <rFont val="Arial"/>
        <family val="2"/>
      </rPr>
      <t>t</t>
    </r>
  </si>
  <si>
    <r>
      <t>Q(</t>
    </r>
    <r>
      <rPr>
        <b/>
        <sz val="11"/>
        <color indexed="8"/>
        <rFont val="Symbol"/>
        <family val="1"/>
        <charset val="2"/>
      </rPr>
      <t>t</t>
    </r>
    <r>
      <rPr>
        <b/>
        <sz val="11"/>
        <color indexed="8"/>
        <rFont val="Calibri"/>
        <family val="2"/>
      </rPr>
      <t>&gt;ti)</t>
    </r>
  </si>
  <si>
    <r>
      <t>Q(</t>
    </r>
    <r>
      <rPr>
        <b/>
        <sz val="11"/>
        <color indexed="8"/>
        <rFont val="Symbol"/>
        <family val="1"/>
        <charset val="2"/>
      </rPr>
      <t>t&gt;</t>
    </r>
    <r>
      <rPr>
        <b/>
        <sz val="11"/>
        <color indexed="8"/>
        <rFont val="Calibri"/>
        <family val="2"/>
      </rPr>
      <t>ti-1</t>
    </r>
    <r>
      <rPr>
        <b/>
        <sz val="11"/>
        <color indexed="8"/>
        <rFont val="Symbol"/>
        <family val="1"/>
        <charset val="2"/>
      </rPr>
      <t>)-</t>
    </r>
    <r>
      <rPr>
        <b/>
        <sz val="11"/>
        <color indexed="8"/>
        <rFont val="Calibri"/>
        <family val="2"/>
      </rPr>
      <t>Q(</t>
    </r>
    <r>
      <rPr>
        <b/>
        <sz val="11"/>
        <color indexed="8"/>
        <rFont val="Symbol"/>
        <family val="1"/>
        <charset val="2"/>
      </rPr>
      <t>t</t>
    </r>
    <r>
      <rPr>
        <b/>
        <sz val="11"/>
        <color indexed="8"/>
        <rFont val="Calibri"/>
        <family val="2"/>
      </rPr>
      <t>&gt;ti)</t>
    </r>
  </si>
  <si>
    <t>Gradient</t>
  </si>
  <si>
    <t>CDS 1</t>
  </si>
  <si>
    <t>CDS 2</t>
  </si>
  <si>
    <t>CDS 3</t>
  </si>
  <si>
    <t>CDS 4</t>
  </si>
  <si>
    <t>CDS 5</t>
  </si>
  <si>
    <t>Calculated Price</t>
  </si>
  <si>
    <t>Market Price</t>
  </si>
  <si>
    <t>Difference</t>
  </si>
  <si>
    <t>Flujos de Caja Swaps IBR vs TF</t>
  </si>
  <si>
    <t>Nodo</t>
  </si>
  <si>
    <t>Fecha FC</t>
  </si>
  <si>
    <t>T (Act/360)</t>
  </si>
  <si>
    <t>Tasas Spot</t>
  </si>
  <si>
    <t>Bono ZC</t>
  </si>
  <si>
    <t>t</t>
  </si>
  <si>
    <t>Gradiente</t>
  </si>
  <si>
    <t>Roll FWD</t>
  </si>
  <si>
    <t>In 3m FWD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</si>
</sst>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(* #,##0.00_);_(* \(#,##0.00\);_(* &quot;-&quot;??_);_(@_)"/>
    <numFmt numFmtId="165" formatCode="_ * #,##0.00_ ;_ * \-#,##0.00_ ;_ * &quot;-&quot;??_ ;_ @_ "/>
    <numFmt numFmtId="166" formatCode="0.000%"/>
    <numFmt numFmtId="167" formatCode="0.0000%"/>
    <numFmt numFmtId="168" formatCode="_(* #,##0.0000_);_(* \(#,##0.0000\);_(* &quot;-&quot;??_);_(@_)"/>
    <numFmt numFmtId="169" formatCode="_ * #,##0_ ;_ * \-#,##0_ ;_ * &quot;-&quot;??_ ;_ @_ "/>
    <numFmt numFmtId="170" formatCode="_(* #,##0_);_(* \(#,##0\);_(* &quot;-&quot;??_);_(@_)"/>
    <numFmt numFmtId="171" formatCode="_(* #,##0.000_);_(* \(#,##0.000\);_(* &quot;-&quot;??_);_(@_)"/>
    <numFmt numFmtId="172" formatCode="_(* #,##0.000_);_(* \(#,##0.000\);_(* &quot;-&quot;???_);_(@_)"/>
    <numFmt numFmtId="173" formatCode="_ * #,##0.0000_ ;_ * \-#,##0.0000_ ;_ * &quot;-&quot;??_ ;_ @_ "/>
    <numFmt numFmtId="174" formatCode="0.0000"/>
    <numFmt numFmtId="175" formatCode="\ &quot;Swap&quot;\ 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u val="singleAccounting"/>
      <sz val="11"/>
      <color theme="1"/>
      <name val="Calibri"/>
      <family val="2"/>
      <scheme val="minor"/>
    </font>
    <font>
      <b/>
      <u val="singleAccounting"/>
      <sz val="10"/>
      <name val="Arial"/>
      <family val="2"/>
    </font>
    <font>
      <b/>
      <sz val="10"/>
      <name val="Symbol"/>
      <family val="1"/>
      <charset val="2"/>
    </font>
    <font>
      <b/>
      <sz val="11"/>
      <color indexed="8"/>
      <name val="Symbol"/>
      <family val="1"/>
      <charset val="2"/>
    </font>
    <font>
      <b/>
      <sz val="11"/>
      <color indexed="8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165" fontId="10" fillId="0" borderId="0" applyFont="0" applyFill="0" applyBorder="0" applyAlignment="0" applyProtection="0"/>
  </cellStyleXfs>
  <cellXfs count="324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0" fillId="2" borderId="2" xfId="0" applyFill="1" applyBorder="1"/>
    <xf numFmtId="0" fontId="5" fillId="2" borderId="0" xfId="0" applyFont="1" applyFill="1"/>
    <xf numFmtId="0" fontId="0" fillId="2" borderId="0" xfId="0" applyFill="1"/>
    <xf numFmtId="164" fontId="0" fillId="2" borderId="0" xfId="1" applyNumberFormat="1" applyFont="1" applyFill="1"/>
    <xf numFmtId="43" fontId="0" fillId="2" borderId="0" xfId="1" applyFont="1" applyFill="1"/>
    <xf numFmtId="0" fontId="3" fillId="2" borderId="3" xfId="0" applyFont="1" applyFill="1" applyBorder="1"/>
    <xf numFmtId="43" fontId="1" fillId="2" borderId="3" xfId="1" applyFill="1" applyBorder="1" applyAlignment="1">
      <alignment horizontal="center"/>
    </xf>
    <xf numFmtId="10" fontId="1" fillId="3" borderId="0" xfId="2" applyNumberFormat="1" applyFill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4" borderId="0" xfId="0" applyFill="1"/>
    <xf numFmtId="0" fontId="0" fillId="2" borderId="4" xfId="0" applyFill="1" applyBorder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0" fillId="6" borderId="0" xfId="0" applyFill="1"/>
    <xf numFmtId="0" fontId="0" fillId="2" borderId="6" xfId="0" applyFill="1" applyBorder="1"/>
    <xf numFmtId="0" fontId="0" fillId="2" borderId="1" xfId="0" applyFill="1" applyBorder="1"/>
    <xf numFmtId="0" fontId="0" fillId="2" borderId="5" xfId="0" applyFill="1" applyBorder="1"/>
    <xf numFmtId="0" fontId="0" fillId="2" borderId="7" xfId="0" applyFill="1" applyBorder="1"/>
    <xf numFmtId="0" fontId="6" fillId="2" borderId="0" xfId="0" applyFont="1" applyFill="1"/>
    <xf numFmtId="14" fontId="0" fillId="7" borderId="4" xfId="0" applyNumberFormat="1" applyFill="1" applyBorder="1"/>
    <xf numFmtId="0" fontId="6" fillId="2" borderId="4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0" fillId="2" borderId="9" xfId="0" applyFill="1" applyBorder="1"/>
    <xf numFmtId="165" fontId="6" fillId="2" borderId="0" xfId="1" applyNumberFormat="1" applyFont="1" applyFill="1" applyAlignment="1">
      <alignment horizontal="center"/>
    </xf>
    <xf numFmtId="14" fontId="0" fillId="8" borderId="4" xfId="0" applyNumberFormat="1" applyFill="1" applyBorder="1" applyAlignment="1">
      <alignment horizontal="center"/>
    </xf>
    <xf numFmtId="2" fontId="0" fillId="9" borderId="4" xfId="0" applyNumberFormat="1" applyFill="1" applyBorder="1"/>
    <xf numFmtId="166" fontId="1" fillId="3" borderId="4" xfId="2" applyNumberFormat="1" applyFill="1" applyBorder="1" applyAlignment="1">
      <alignment horizontal="center"/>
    </xf>
    <xf numFmtId="166" fontId="1" fillId="10" borderId="4" xfId="2" applyNumberFormat="1" applyFill="1" applyBorder="1" applyAlignment="1">
      <alignment horizontal="center"/>
    </xf>
    <xf numFmtId="10" fontId="7" fillId="10" borderId="7" xfId="0" applyNumberFormat="1" applyFont="1" applyFill="1" applyBorder="1" applyAlignment="1">
      <alignment horizontal="center"/>
    </xf>
    <xf numFmtId="0" fontId="0" fillId="2" borderId="10" xfId="0" applyFill="1" applyBorder="1"/>
    <xf numFmtId="10" fontId="2" fillId="4" borderId="4" xfId="2" applyNumberFormat="1" applyFont="1" applyFill="1" applyBorder="1" applyAlignment="1">
      <alignment horizontal="center"/>
    </xf>
    <xf numFmtId="166" fontId="1" fillId="10" borderId="7" xfId="2" applyNumberFormat="1" applyFill="1" applyBorder="1" applyAlignment="1">
      <alignment horizontal="center"/>
    </xf>
    <xf numFmtId="1" fontId="0" fillId="2" borderId="4" xfId="0" applyNumberFormat="1" applyFill="1" applyBorder="1"/>
    <xf numFmtId="10" fontId="0" fillId="6" borderId="11" xfId="2" applyNumberFormat="1" applyFont="1" applyFill="1" applyBorder="1"/>
    <xf numFmtId="10" fontId="0" fillId="2" borderId="7" xfId="2" applyNumberFormat="1" applyFont="1" applyFill="1" applyBorder="1"/>
    <xf numFmtId="0" fontId="0" fillId="2" borderId="11" xfId="0" applyFill="1" applyBorder="1"/>
    <xf numFmtId="14" fontId="0" fillId="8" borderId="6" xfId="0" applyNumberFormat="1" applyFill="1" applyBorder="1" applyAlignment="1">
      <alignment horizontal="center"/>
    </xf>
    <xf numFmtId="2" fontId="0" fillId="9" borderId="6" xfId="0" applyNumberFormat="1" applyFill="1" applyBorder="1"/>
    <xf numFmtId="166" fontId="1" fillId="3" borderId="6" xfId="2" applyNumberFormat="1" applyFill="1" applyBorder="1" applyAlignment="1">
      <alignment horizontal="center"/>
    </xf>
    <xf numFmtId="166" fontId="1" fillId="10" borderId="6" xfId="2" applyNumberFormat="1" applyFill="1" applyBorder="1" applyAlignment="1">
      <alignment horizontal="center"/>
    </xf>
    <xf numFmtId="10" fontId="7" fillId="10" borderId="12" xfId="0" applyNumberFormat="1" applyFont="1" applyFill="1" applyBorder="1" applyAlignment="1">
      <alignment horizontal="center"/>
    </xf>
    <xf numFmtId="10" fontId="2" fillId="4" borderId="6" xfId="2" applyNumberFormat="1" applyFont="1" applyFill="1" applyBorder="1" applyAlignment="1">
      <alignment horizontal="center"/>
    </xf>
    <xf numFmtId="166" fontId="1" fillId="10" borderId="12" xfId="2" applyNumberFormat="1" applyFill="1" applyBorder="1" applyAlignment="1">
      <alignment horizontal="center"/>
    </xf>
    <xf numFmtId="1" fontId="0" fillId="2" borderId="6" xfId="0" applyNumberFormat="1" applyFill="1" applyBorder="1"/>
    <xf numFmtId="10" fontId="0" fillId="6" borderId="13" xfId="2" applyNumberFormat="1" applyFont="1" applyFill="1" applyBorder="1"/>
    <xf numFmtId="10" fontId="0" fillId="2" borderId="12" xfId="2" applyNumberFormat="1" applyFont="1" applyFill="1" applyBorder="1"/>
    <xf numFmtId="167" fontId="0" fillId="2" borderId="0" xfId="2" applyNumberFormat="1" applyFont="1" applyFill="1"/>
    <xf numFmtId="0" fontId="0" fillId="2" borderId="6" xfId="0" applyFill="1" applyBorder="1" applyAlignment="1">
      <alignment horizontal="right"/>
    </xf>
    <xf numFmtId="10" fontId="1" fillId="3" borderId="6" xfId="2" applyNumberFormat="1" applyFill="1" applyBorder="1" applyAlignment="1">
      <alignment horizontal="center"/>
    </xf>
    <xf numFmtId="43" fontId="1" fillId="3" borderId="6" xfId="1" applyFill="1" applyBorder="1" applyAlignment="1">
      <alignment horizontal="center"/>
    </xf>
    <xf numFmtId="0" fontId="0" fillId="2" borderId="13" xfId="0" applyFill="1" applyBorder="1"/>
    <xf numFmtId="10" fontId="7" fillId="4" borderId="12" xfId="0" applyNumberFormat="1" applyFont="1" applyFill="1" applyBorder="1" applyAlignment="1">
      <alignment horizontal="center"/>
    </xf>
    <xf numFmtId="166" fontId="1" fillId="11" borderId="6" xfId="2" applyNumberFormat="1" applyFill="1" applyBorder="1" applyAlignment="1">
      <alignment horizontal="center"/>
    </xf>
    <xf numFmtId="0" fontId="5" fillId="2" borderId="6" xfId="0" applyFont="1" applyFill="1" applyBorder="1"/>
    <xf numFmtId="0" fontId="5" fillId="2" borderId="13" xfId="0" applyFont="1" applyFill="1" applyBorder="1"/>
    <xf numFmtId="10" fontId="2" fillId="4" borderId="3" xfId="2" applyNumberFormat="1" applyFont="1" applyFill="1" applyBorder="1" applyAlignment="1">
      <alignment horizontal="center"/>
    </xf>
    <xf numFmtId="43" fontId="1" fillId="3" borderId="4" xfId="1" applyFill="1" applyBorder="1" applyAlignment="1">
      <alignment horizontal="center"/>
    </xf>
    <xf numFmtId="10" fontId="1" fillId="3" borderId="4" xfId="2" applyNumberFormat="1" applyFill="1" applyBorder="1" applyAlignment="1">
      <alignment horizontal="center"/>
    </xf>
    <xf numFmtId="10" fontId="2" fillId="4" borderId="9" xfId="2" applyNumberFormat="1" applyFont="1" applyFill="1" applyBorder="1" applyAlignment="1">
      <alignment horizontal="center"/>
    </xf>
    <xf numFmtId="14" fontId="0" fillId="8" borderId="9" xfId="0" applyNumberFormat="1" applyFill="1" applyBorder="1" applyAlignment="1">
      <alignment horizontal="center"/>
    </xf>
    <xf numFmtId="2" fontId="0" fillId="9" borderId="9" xfId="0" applyNumberFormat="1" applyFill="1" applyBorder="1"/>
    <xf numFmtId="166" fontId="1" fillId="10" borderId="9" xfId="2" applyNumberFormat="1" applyFill="1" applyBorder="1" applyAlignment="1">
      <alignment horizontal="center"/>
    </xf>
    <xf numFmtId="166" fontId="1" fillId="11" borderId="9" xfId="2" applyNumberFormat="1" applyFill="1" applyBorder="1" applyAlignment="1">
      <alignment horizontal="center"/>
    </xf>
    <xf numFmtId="43" fontId="1" fillId="3" borderId="9" xfId="1" applyFill="1" applyBorder="1" applyAlignment="1">
      <alignment horizontal="center"/>
    </xf>
    <xf numFmtId="10" fontId="1" fillId="3" borderId="9" xfId="2" applyNumberForma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14" fontId="0" fillId="5" borderId="6" xfId="0" applyNumberFormat="1" applyFill="1" applyBorder="1" applyAlignment="1">
      <alignment horizontal="center"/>
    </xf>
    <xf numFmtId="2" fontId="0" fillId="12" borderId="6" xfId="0" applyNumberFormat="1" applyFill="1" applyBorder="1"/>
    <xf numFmtId="43" fontId="2" fillId="4" borderId="4" xfId="1" applyFont="1" applyFill="1" applyBorder="1" applyAlignment="1">
      <alignment horizontal="center"/>
    </xf>
    <xf numFmtId="10" fontId="1" fillId="3" borderId="11" xfId="2" applyNumberFormat="1" applyFill="1" applyBorder="1" applyAlignment="1">
      <alignment horizontal="center"/>
    </xf>
    <xf numFmtId="10" fontId="1" fillId="3" borderId="7" xfId="2" applyNumberFormat="1" applyFill="1" applyBorder="1" applyAlignment="1">
      <alignment horizontal="center"/>
    </xf>
    <xf numFmtId="10" fontId="0" fillId="2" borderId="0" xfId="0" applyNumberFormat="1" applyFill="1"/>
    <xf numFmtId="10" fontId="0" fillId="6" borderId="12" xfId="2" applyNumberFormat="1" applyFont="1" applyFill="1" applyBorder="1"/>
    <xf numFmtId="43" fontId="1" fillId="3" borderId="11" xfId="1" applyFill="1" applyBorder="1" applyAlignment="1">
      <alignment horizontal="center"/>
    </xf>
    <xf numFmtId="43" fontId="2" fillId="4" borderId="6" xfId="1" applyFont="1" applyFill="1" applyBorder="1" applyAlignment="1">
      <alignment horizontal="center"/>
    </xf>
    <xf numFmtId="10" fontId="1" fillId="3" borderId="13" xfId="2" applyNumberFormat="1" applyFill="1" applyBorder="1" applyAlignment="1">
      <alignment horizontal="center"/>
    </xf>
    <xf numFmtId="10" fontId="1" fillId="3" borderId="12" xfId="2" applyNumberFormat="1" applyFill="1" applyBorder="1" applyAlignment="1">
      <alignment horizontal="center"/>
    </xf>
    <xf numFmtId="43" fontId="1" fillId="3" borderId="13" xfId="1" applyFill="1" applyBorder="1" applyAlignment="1">
      <alignment horizontal="center"/>
    </xf>
    <xf numFmtId="10" fontId="1" fillId="10" borderId="13" xfId="2" applyNumberFormat="1" applyFill="1" applyBorder="1" applyAlignment="1">
      <alignment horizontal="center"/>
    </xf>
    <xf numFmtId="10" fontId="1" fillId="10" borderId="6" xfId="2" applyNumberFormat="1" applyFill="1" applyBorder="1" applyAlignment="1">
      <alignment horizontal="center"/>
    </xf>
    <xf numFmtId="14" fontId="0" fillId="5" borderId="9" xfId="0" applyNumberFormat="1" applyFill="1" applyBorder="1" applyAlignment="1">
      <alignment horizontal="center"/>
    </xf>
    <xf numFmtId="2" fontId="0" fillId="12" borderId="9" xfId="0" applyNumberFormat="1" applyFill="1" applyBorder="1"/>
    <xf numFmtId="166" fontId="1" fillId="3" borderId="9" xfId="2" applyNumberFormat="1" applyFill="1" applyBorder="1" applyAlignment="1">
      <alignment horizontal="center"/>
    </xf>
    <xf numFmtId="43" fontId="2" fillId="4" borderId="9" xfId="1" applyFont="1" applyFill="1" applyBorder="1" applyAlignment="1">
      <alignment horizontal="center"/>
    </xf>
    <xf numFmtId="10" fontId="1" fillId="3" borderId="14" xfId="2" applyNumberFormat="1" applyFill="1" applyBorder="1" applyAlignment="1">
      <alignment horizontal="center"/>
    </xf>
    <xf numFmtId="10" fontId="7" fillId="10" borderId="8" xfId="0" applyNumberFormat="1" applyFont="1" applyFill="1" applyBorder="1" applyAlignment="1">
      <alignment horizontal="center"/>
    </xf>
    <xf numFmtId="1" fontId="0" fillId="2" borderId="9" xfId="0" applyNumberFormat="1" applyFill="1" applyBorder="1"/>
    <xf numFmtId="10" fontId="0" fillId="6" borderId="14" xfId="2" applyNumberFormat="1" applyFont="1" applyFill="1" applyBorder="1"/>
    <xf numFmtId="10" fontId="0" fillId="6" borderId="8" xfId="2" applyNumberFormat="1" applyFont="1" applyFill="1" applyBorder="1"/>
    <xf numFmtId="0" fontId="0" fillId="2" borderId="9" xfId="0" applyFill="1" applyBorder="1" applyAlignment="1">
      <alignment horizontal="right"/>
    </xf>
    <xf numFmtId="43" fontId="1" fillId="3" borderId="14" xfId="1" applyFill="1" applyBorder="1" applyAlignment="1">
      <alignment horizontal="center"/>
    </xf>
    <xf numFmtId="10" fontId="0" fillId="2" borderId="0" xfId="2" applyNumberFormat="1" applyFont="1" applyFill="1"/>
    <xf numFmtId="168" fontId="0" fillId="2" borderId="0" xfId="1" applyNumberFormat="1" applyFont="1" applyFill="1"/>
    <xf numFmtId="14" fontId="0" fillId="6" borderId="14" xfId="0" applyNumberFormat="1" applyFill="1" applyBorder="1"/>
    <xf numFmtId="10" fontId="4" fillId="4" borderId="8" xfId="2" applyNumberFormat="1" applyFont="1" applyFill="1" applyBorder="1"/>
    <xf numFmtId="164" fontId="8" fillId="2" borderId="0" xfId="2" applyNumberFormat="1" applyFont="1" applyFill="1" applyAlignment="1">
      <alignment horizontal="center"/>
    </xf>
    <xf numFmtId="0" fontId="3" fillId="2" borderId="4" xfId="0" applyFont="1" applyFill="1" applyBorder="1"/>
    <xf numFmtId="10" fontId="2" fillId="2" borderId="0" xfId="2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13" xfId="0" applyFont="1" applyFill="1" applyBorder="1"/>
    <xf numFmtId="0" fontId="6" fillId="2" borderId="6" xfId="0" applyFont="1" applyFill="1" applyBorder="1"/>
    <xf numFmtId="0" fontId="3" fillId="2" borderId="6" xfId="0" applyFont="1" applyFill="1" applyBorder="1"/>
    <xf numFmtId="0" fontId="3" fillId="2" borderId="6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0" fontId="3" fillId="2" borderId="5" xfId="2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10" fontId="0" fillId="2" borderId="11" xfId="2" applyNumberFormat="1" applyFont="1" applyFill="1" applyBorder="1"/>
    <xf numFmtId="165" fontId="10" fillId="2" borderId="11" xfId="1" applyNumberFormat="1" applyFont="1" applyFill="1" applyBorder="1" applyAlignment="1">
      <alignment horizontal="center"/>
    </xf>
    <xf numFmtId="14" fontId="0" fillId="2" borderId="10" xfId="0" applyNumberFormat="1" applyFill="1" applyBorder="1"/>
    <xf numFmtId="169" fontId="10" fillId="2" borderId="7" xfId="1" applyNumberFormat="1" applyFont="1" applyFill="1" applyBorder="1"/>
    <xf numFmtId="43" fontId="10" fillId="2" borderId="10" xfId="1" applyFont="1" applyFill="1" applyBorder="1"/>
    <xf numFmtId="4" fontId="10" fillId="14" borderId="4" xfId="1" applyNumberFormat="1" applyFont="1" applyFill="1" applyBorder="1"/>
    <xf numFmtId="10" fontId="0" fillId="2" borderId="4" xfId="2" applyNumberFormat="1" applyFont="1" applyFill="1" applyBorder="1"/>
    <xf numFmtId="10" fontId="0" fillId="2" borderId="4" xfId="0" applyNumberFormat="1" applyFill="1" applyBorder="1"/>
    <xf numFmtId="166" fontId="0" fillId="2" borderId="4" xfId="2" applyNumberFormat="1" applyFont="1" applyFill="1" applyBorder="1"/>
    <xf numFmtId="170" fontId="0" fillId="2" borderId="10" xfId="0" applyNumberFormat="1" applyFill="1" applyBorder="1"/>
    <xf numFmtId="169" fontId="0" fillId="2" borderId="10" xfId="0" applyNumberFormat="1" applyFill="1" applyBorder="1"/>
    <xf numFmtId="164" fontId="0" fillId="2" borderId="10" xfId="2" applyNumberFormat="1" applyFont="1" applyFill="1" applyBorder="1"/>
    <xf numFmtId="10" fontId="0" fillId="2" borderId="10" xfId="2" applyNumberFormat="1" applyFont="1" applyFill="1" applyBorder="1"/>
    <xf numFmtId="10" fontId="0" fillId="2" borderId="13" xfId="2" applyNumberFormat="1" applyFont="1" applyFill="1" applyBorder="1"/>
    <xf numFmtId="165" fontId="10" fillId="2" borderId="13" xfId="1" applyNumberFormat="1" applyFont="1" applyFill="1" applyBorder="1" applyAlignment="1">
      <alignment horizontal="center"/>
    </xf>
    <xf numFmtId="14" fontId="0" fillId="2" borderId="0" xfId="0" applyNumberFormat="1" applyFill="1"/>
    <xf numFmtId="169" fontId="10" fillId="2" borderId="12" xfId="1" applyNumberFormat="1" applyFont="1" applyFill="1" applyBorder="1"/>
    <xf numFmtId="43" fontId="10" fillId="2" borderId="0" xfId="1" applyFont="1" applyFill="1"/>
    <xf numFmtId="43" fontId="10" fillId="6" borderId="6" xfId="1" applyFont="1" applyFill="1" applyBorder="1"/>
    <xf numFmtId="10" fontId="0" fillId="2" borderId="9" xfId="2" applyNumberFormat="1" applyFont="1" applyFill="1" applyBorder="1"/>
    <xf numFmtId="10" fontId="0" fillId="2" borderId="9" xfId="0" applyNumberFormat="1" applyFill="1" applyBorder="1"/>
    <xf numFmtId="166" fontId="0" fillId="2" borderId="6" xfId="2" applyNumberFormat="1" applyFont="1" applyFill="1" applyBorder="1"/>
    <xf numFmtId="170" fontId="0" fillId="2" borderId="0" xfId="0" applyNumberFormat="1" applyFill="1"/>
    <xf numFmtId="169" fontId="0" fillId="2" borderId="0" xfId="0" applyNumberFormat="1" applyFill="1"/>
    <xf numFmtId="164" fontId="0" fillId="2" borderId="0" xfId="2" applyNumberFormat="1" applyFont="1" applyFill="1"/>
    <xf numFmtId="0" fontId="3" fillId="2" borderId="14" xfId="0" applyFont="1" applyFill="1" applyBorder="1" applyAlignment="1">
      <alignment horizontal="center"/>
    </xf>
    <xf numFmtId="10" fontId="0" fillId="2" borderId="14" xfId="2" applyNumberFormat="1" applyFont="1" applyFill="1" applyBorder="1"/>
    <xf numFmtId="10" fontId="0" fillId="2" borderId="8" xfId="2" applyNumberFormat="1" applyFont="1" applyFill="1" applyBorder="1"/>
    <xf numFmtId="10" fontId="0" fillId="2" borderId="6" xfId="2" applyNumberFormat="1" applyFont="1" applyFill="1" applyBorder="1"/>
    <xf numFmtId="10" fontId="0" fillId="2" borderId="6" xfId="0" applyNumberFormat="1" applyFill="1" applyBorder="1"/>
    <xf numFmtId="10" fontId="1" fillId="2" borderId="6" xfId="2" applyNumberFormat="1" applyFill="1" applyBorder="1"/>
    <xf numFmtId="166" fontId="0" fillId="2" borderId="9" xfId="2" applyNumberFormat="1" applyFont="1" applyFill="1" applyBorder="1"/>
    <xf numFmtId="170" fontId="0" fillId="2" borderId="15" xfId="0" applyNumberFormat="1" applyFill="1" applyBorder="1"/>
    <xf numFmtId="169" fontId="0" fillId="2" borderId="15" xfId="0" applyNumberFormat="1" applyFill="1" applyBorder="1"/>
    <xf numFmtId="164" fontId="0" fillId="2" borderId="15" xfId="2" applyNumberFormat="1" applyFont="1" applyFill="1" applyBorder="1"/>
    <xf numFmtId="10" fontId="0" fillId="2" borderId="15" xfId="2" applyNumberFormat="1" applyFont="1" applyFill="1" applyBorder="1"/>
    <xf numFmtId="43" fontId="10" fillId="6" borderId="4" xfId="1" applyFont="1" applyFill="1" applyBorder="1"/>
    <xf numFmtId="10" fontId="3" fillId="2" borderId="0" xfId="0" applyNumberFormat="1" applyFont="1" applyFill="1" applyAlignment="1">
      <alignment horizontal="center"/>
    </xf>
    <xf numFmtId="0" fontId="0" fillId="2" borderId="13" xfId="0" applyFill="1" applyBorder="1" applyAlignment="1">
      <alignment horizontal="center"/>
    </xf>
    <xf numFmtId="164" fontId="3" fillId="2" borderId="0" xfId="0" applyNumberFormat="1" applyFont="1" applyFill="1" applyAlignment="1">
      <alignment horizontal="center"/>
    </xf>
    <xf numFmtId="14" fontId="0" fillId="6" borderId="10" xfId="0" applyNumberFormat="1" applyFill="1" applyBorder="1"/>
    <xf numFmtId="43" fontId="10" fillId="10" borderId="7" xfId="1" applyFont="1" applyFill="1" applyBorder="1"/>
    <xf numFmtId="4" fontId="10" fillId="10" borderId="11" xfId="1" applyNumberFormat="1" applyFont="1" applyFill="1" applyBorder="1"/>
    <xf numFmtId="43" fontId="3" fillId="2" borderId="0" xfId="1" applyFont="1" applyFill="1" applyAlignment="1">
      <alignment horizontal="center"/>
    </xf>
    <xf numFmtId="0" fontId="0" fillId="2" borderId="14" xfId="0" applyFill="1" applyBorder="1"/>
    <xf numFmtId="14" fontId="0" fillId="6" borderId="15" xfId="0" applyNumberFormat="1" applyFill="1" applyBorder="1"/>
    <xf numFmtId="169" fontId="10" fillId="2" borderId="8" xfId="1" applyNumberFormat="1" applyFont="1" applyFill="1" applyBorder="1"/>
    <xf numFmtId="43" fontId="10" fillId="10" borderId="8" xfId="1" applyFont="1" applyFill="1" applyBorder="1"/>
    <xf numFmtId="4" fontId="10" fillId="14" borderId="9" xfId="1" applyNumberFormat="1" applyFont="1" applyFill="1" applyBorder="1"/>
    <xf numFmtId="4" fontId="10" fillId="10" borderId="14" xfId="1" applyNumberFormat="1" applyFont="1" applyFill="1" applyBorder="1"/>
    <xf numFmtId="14" fontId="0" fillId="2" borderId="15" xfId="0" applyNumberFormat="1" applyFill="1" applyBorder="1"/>
    <xf numFmtId="10" fontId="1" fillId="2" borderId="15" xfId="2" applyNumberFormat="1" applyFill="1" applyBorder="1"/>
    <xf numFmtId="164" fontId="6" fillId="2" borderId="0" xfId="0" applyNumberFormat="1" applyFont="1" applyFill="1"/>
    <xf numFmtId="164" fontId="0" fillId="2" borderId="0" xfId="0" applyNumberFormat="1" applyFill="1"/>
    <xf numFmtId="0" fontId="0" fillId="2" borderId="0" xfId="0" applyFill="1" applyAlignment="1">
      <alignment vertical="center" textRotation="90"/>
    </xf>
    <xf numFmtId="0" fontId="3" fillId="2" borderId="4" xfId="0" applyFont="1" applyFill="1" applyBorder="1" applyAlignment="1">
      <alignment horizontal="center"/>
    </xf>
    <xf numFmtId="170" fontId="3" fillId="2" borderId="4" xfId="3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10" fillId="2" borderId="11" xfId="0" applyFont="1" applyFill="1" applyBorder="1"/>
    <xf numFmtId="14" fontId="0" fillId="2" borderId="4" xfId="0" applyNumberFormat="1" applyFill="1" applyBorder="1"/>
    <xf numFmtId="14" fontId="0" fillId="2" borderId="7" xfId="0" applyNumberFormat="1" applyFill="1" applyBorder="1"/>
    <xf numFmtId="2" fontId="0" fillId="2" borderId="7" xfId="0" applyNumberFormat="1" applyFill="1" applyBorder="1"/>
    <xf numFmtId="43" fontId="0" fillId="2" borderId="4" xfId="1" applyFont="1" applyFill="1" applyBorder="1"/>
    <xf numFmtId="43" fontId="0" fillId="2" borderId="11" xfId="1" applyFont="1" applyFill="1" applyBorder="1"/>
    <xf numFmtId="171" fontId="0" fillId="2" borderId="4" xfId="1" applyNumberFormat="1" applyFont="1" applyFill="1" applyBorder="1"/>
    <xf numFmtId="171" fontId="0" fillId="6" borderId="7" xfId="1" applyNumberFormat="1" applyFont="1" applyFill="1" applyBorder="1"/>
    <xf numFmtId="171" fontId="2" fillId="4" borderId="7" xfId="1" applyNumberFormat="1" applyFont="1" applyFill="1" applyBorder="1"/>
    <xf numFmtId="0" fontId="10" fillId="2" borderId="13" xfId="0" applyFont="1" applyFill="1" applyBorder="1"/>
    <xf numFmtId="14" fontId="0" fillId="2" borderId="6" xfId="0" applyNumberFormat="1" applyFill="1" applyBorder="1"/>
    <xf numFmtId="14" fontId="0" fillId="2" borderId="12" xfId="0" applyNumberFormat="1" applyFill="1" applyBorder="1"/>
    <xf numFmtId="2" fontId="0" fillId="2" borderId="12" xfId="0" applyNumberFormat="1" applyFill="1" applyBorder="1"/>
    <xf numFmtId="43" fontId="0" fillId="2" borderId="6" xfId="1" applyFont="1" applyFill="1" applyBorder="1"/>
    <xf numFmtId="43" fontId="0" fillId="2" borderId="13" xfId="1" applyFont="1" applyFill="1" applyBorder="1"/>
    <xf numFmtId="171" fontId="0" fillId="2" borderId="6" xfId="1" applyNumberFormat="1" applyFont="1" applyFill="1" applyBorder="1"/>
    <xf numFmtId="171" fontId="0" fillId="6" borderId="12" xfId="1" applyNumberFormat="1" applyFont="1" applyFill="1" applyBorder="1"/>
    <xf numFmtId="171" fontId="2" fillId="4" borderId="12" xfId="1" applyNumberFormat="1" applyFont="1" applyFill="1" applyBorder="1"/>
    <xf numFmtId="171" fontId="0" fillId="2" borderId="0" xfId="0" applyNumberFormat="1" applyFill="1"/>
    <xf numFmtId="172" fontId="11" fillId="2" borderId="0" xfId="0" applyNumberFormat="1" applyFont="1" applyFill="1"/>
    <xf numFmtId="0" fontId="6" fillId="2" borderId="0" xfId="4" applyFont="1" applyFill="1" applyAlignment="1">
      <alignment horizontal="center"/>
    </xf>
    <xf numFmtId="10" fontId="12" fillId="2" borderId="0" xfId="2" applyNumberFormat="1" applyFont="1" applyFill="1" applyAlignment="1">
      <alignment horizontal="center"/>
    </xf>
    <xf numFmtId="168" fontId="10" fillId="2" borderId="0" xfId="1" applyNumberFormat="1" applyFont="1" applyFill="1"/>
    <xf numFmtId="173" fontId="10" fillId="2" borderId="0" xfId="5" applyNumberFormat="1" applyFill="1"/>
    <xf numFmtId="164" fontId="10" fillId="2" borderId="0" xfId="4" applyNumberFormat="1" applyFill="1"/>
    <xf numFmtId="171" fontId="10" fillId="2" borderId="0" xfId="4" applyNumberFormat="1" applyFill="1"/>
    <xf numFmtId="10" fontId="10" fillId="2" borderId="0" xfId="2" applyNumberFormat="1" applyFont="1" applyFill="1"/>
    <xf numFmtId="164" fontId="0" fillId="2" borderId="13" xfId="1" applyNumberFormat="1" applyFont="1" applyFill="1" applyBorder="1"/>
    <xf numFmtId="14" fontId="10" fillId="2" borderId="0" xfId="4" applyNumberFormat="1" applyFill="1"/>
    <xf numFmtId="14" fontId="0" fillId="2" borderId="11" xfId="0" applyNumberFormat="1" applyFill="1" applyBorder="1"/>
    <xf numFmtId="2" fontId="0" fillId="2" borderId="11" xfId="0" applyNumberFormat="1" applyFill="1" applyBorder="1"/>
    <xf numFmtId="0" fontId="10" fillId="2" borderId="0" xfId="0" applyFont="1" applyFill="1"/>
    <xf numFmtId="171" fontId="2" fillId="2" borderId="0" xfId="1" applyNumberFormat="1" applyFont="1" applyFill="1"/>
    <xf numFmtId="14" fontId="0" fillId="2" borderId="13" xfId="0" applyNumberFormat="1" applyFill="1" applyBorder="1"/>
    <xf numFmtId="2" fontId="0" fillId="2" borderId="13" xfId="0" applyNumberFormat="1" applyFill="1" applyBorder="1"/>
    <xf numFmtId="0" fontId="10" fillId="2" borderId="14" xfId="0" applyFont="1" applyFill="1" applyBorder="1"/>
    <xf numFmtId="14" fontId="0" fillId="2" borderId="14" xfId="0" applyNumberFormat="1" applyFill="1" applyBorder="1"/>
    <xf numFmtId="2" fontId="0" fillId="2" borderId="14" xfId="0" applyNumberFormat="1" applyFill="1" applyBorder="1"/>
    <xf numFmtId="43" fontId="0" fillId="2" borderId="14" xfId="1" applyFont="1" applyFill="1" applyBorder="1"/>
    <xf numFmtId="171" fontId="0" fillId="2" borderId="9" xfId="1" applyNumberFormat="1" applyFont="1" applyFill="1" applyBorder="1"/>
    <xf numFmtId="171" fontId="0" fillId="2" borderId="0" xfId="1" applyNumberFormat="1" applyFont="1" applyFill="1"/>
    <xf numFmtId="14" fontId="0" fillId="2" borderId="9" xfId="0" applyNumberFormat="1" applyFill="1" applyBorder="1"/>
    <xf numFmtId="14" fontId="0" fillId="2" borderId="8" xfId="0" applyNumberFormat="1" applyFill="1" applyBorder="1"/>
    <xf numFmtId="2" fontId="0" fillId="2" borderId="8" xfId="0" applyNumberFormat="1" applyFill="1" applyBorder="1"/>
    <xf numFmtId="43" fontId="0" fillId="2" borderId="9" xfId="1" applyFont="1" applyFill="1" applyBorder="1"/>
    <xf numFmtId="172" fontId="0" fillId="2" borderId="0" xfId="0" applyNumberFormat="1" applyFill="1"/>
    <xf numFmtId="14" fontId="10" fillId="2" borderId="7" xfId="4" applyNumberFormat="1" applyFill="1" applyBorder="1"/>
    <xf numFmtId="14" fontId="10" fillId="2" borderId="12" xfId="4" applyNumberFormat="1" applyFill="1" applyBorder="1"/>
    <xf numFmtId="14" fontId="10" fillId="2" borderId="8" xfId="4" applyNumberFormat="1" applyFill="1" applyBorder="1"/>
    <xf numFmtId="0" fontId="3" fillId="2" borderId="0" xfId="0" applyFont="1" applyFill="1" applyAlignment="1">
      <alignment horizontal="center" vertical="center" textRotation="90"/>
    </xf>
    <xf numFmtId="14" fontId="10" fillId="2" borderId="0" xfId="1" applyNumberFormat="1" applyFont="1" applyFill="1"/>
    <xf numFmtId="2" fontId="0" fillId="2" borderId="0" xfId="0" applyNumberFormat="1" applyFill="1"/>
    <xf numFmtId="0" fontId="10" fillId="0" borderId="0" xfId="6"/>
    <xf numFmtId="0" fontId="6" fillId="0" borderId="0" xfId="6" applyFont="1"/>
    <xf numFmtId="0" fontId="10" fillId="2" borderId="0" xfId="6" applyFill="1"/>
    <xf numFmtId="0" fontId="3" fillId="2" borderId="11" xfId="6" applyFont="1" applyFill="1" applyBorder="1"/>
    <xf numFmtId="0" fontId="6" fillId="2" borderId="10" xfId="6" applyFont="1" applyFill="1" applyBorder="1" applyAlignment="1">
      <alignment horizontal="center"/>
    </xf>
    <xf numFmtId="0" fontId="6" fillId="2" borderId="10" xfId="6" applyFont="1" applyFill="1" applyBorder="1"/>
    <xf numFmtId="0" fontId="3" fillId="2" borderId="10" xfId="6" applyFont="1" applyFill="1" applyBorder="1" applyAlignment="1">
      <alignment horizontal="center"/>
    </xf>
    <xf numFmtId="0" fontId="6" fillId="2" borderId="7" xfId="6" applyFont="1" applyFill="1" applyBorder="1" applyAlignment="1">
      <alignment horizontal="center"/>
    </xf>
    <xf numFmtId="174" fontId="6" fillId="2" borderId="7" xfId="6" applyNumberFormat="1" applyFont="1" applyFill="1" applyBorder="1" applyAlignment="1">
      <alignment horizontal="center"/>
    </xf>
    <xf numFmtId="174" fontId="6" fillId="2" borderId="4" xfId="6" applyNumberFormat="1" applyFont="1" applyFill="1" applyBorder="1" applyAlignment="1">
      <alignment horizontal="center"/>
    </xf>
    <xf numFmtId="0" fontId="10" fillId="2" borderId="13" xfId="6" applyFill="1" applyBorder="1"/>
    <xf numFmtId="14" fontId="10" fillId="2" borderId="0" xfId="6" applyNumberFormat="1" applyFill="1"/>
    <xf numFmtId="174" fontId="10" fillId="2" borderId="0" xfId="6" applyNumberFormat="1" applyFill="1"/>
    <xf numFmtId="167" fontId="10" fillId="2" borderId="0" xfId="6" applyNumberFormat="1" applyFill="1"/>
    <xf numFmtId="0" fontId="10" fillId="2" borderId="12" xfId="6" applyFill="1" applyBorder="1"/>
    <xf numFmtId="174" fontId="10" fillId="2" borderId="7" xfId="6" applyNumberFormat="1" applyFill="1" applyBorder="1"/>
    <xf numFmtId="174" fontId="10" fillId="2" borderId="4" xfId="6" applyNumberFormat="1" applyFill="1" applyBorder="1"/>
    <xf numFmtId="167" fontId="10" fillId="2" borderId="0" xfId="7" applyNumberFormat="1" applyFill="1"/>
    <xf numFmtId="174" fontId="10" fillId="2" borderId="12" xfId="6" applyNumberFormat="1" applyFill="1" applyBorder="1"/>
    <xf numFmtId="174" fontId="10" fillId="2" borderId="6" xfId="6" applyNumberFormat="1" applyFill="1" applyBorder="1"/>
    <xf numFmtId="167" fontId="10" fillId="16" borderId="0" xfId="7" applyNumberFormat="1" applyFill="1"/>
    <xf numFmtId="0" fontId="10" fillId="0" borderId="13" xfId="6" applyBorder="1"/>
    <xf numFmtId="167" fontId="10" fillId="16" borderId="0" xfId="6" applyNumberFormat="1" applyFill="1"/>
    <xf numFmtId="0" fontId="10" fillId="0" borderId="14" xfId="6" applyBorder="1"/>
    <xf numFmtId="14" fontId="10" fillId="2" borderId="15" xfId="6" applyNumberFormat="1" applyFill="1" applyBorder="1"/>
    <xf numFmtId="0" fontId="10" fillId="0" borderId="15" xfId="6" applyBorder="1"/>
    <xf numFmtId="167" fontId="10" fillId="2" borderId="15" xfId="6" applyNumberFormat="1" applyFill="1" applyBorder="1"/>
    <xf numFmtId="174" fontId="10" fillId="2" borderId="15" xfId="6" applyNumberFormat="1" applyFill="1" applyBorder="1"/>
    <xf numFmtId="0" fontId="10" fillId="2" borderId="15" xfId="6" applyFill="1" applyBorder="1"/>
    <xf numFmtId="174" fontId="10" fillId="2" borderId="8" xfId="6" applyNumberFormat="1" applyFill="1" applyBorder="1"/>
    <xf numFmtId="10" fontId="10" fillId="2" borderId="4" xfId="7" applyNumberFormat="1" applyFill="1" applyBorder="1"/>
    <xf numFmtId="0" fontId="6" fillId="2" borderId="0" xfId="6" applyFont="1" applyFill="1" applyAlignment="1">
      <alignment horizontal="left"/>
    </xf>
    <xf numFmtId="10" fontId="10" fillId="2" borderId="9" xfId="7" applyNumberFormat="1" applyFill="1" applyBorder="1"/>
    <xf numFmtId="173" fontId="10" fillId="2" borderId="3" xfId="8" applyNumberFormat="1" applyFill="1" applyBorder="1"/>
    <xf numFmtId="0" fontId="10" fillId="2" borderId="0" xfId="6" applyFill="1" applyAlignment="1">
      <alignment horizontal="right"/>
    </xf>
    <xf numFmtId="10" fontId="10" fillId="2" borderId="0" xfId="7" applyNumberFormat="1" applyFill="1"/>
    <xf numFmtId="10" fontId="10" fillId="0" borderId="0" xfId="2" applyNumberFormat="1" applyFont="1"/>
    <xf numFmtId="0" fontId="6" fillId="0" borderId="0" xfId="0" applyFont="1"/>
    <xf numFmtId="43" fontId="6" fillId="0" borderId="0" xfId="1" applyFont="1"/>
    <xf numFmtId="0" fontId="6" fillId="2" borderId="5" xfId="0" applyFont="1" applyFill="1" applyBorder="1" applyAlignment="1">
      <alignment horizontal="center"/>
    </xf>
    <xf numFmtId="0" fontId="6" fillId="2" borderId="5" xfId="0" applyFont="1" applyFill="1" applyBorder="1"/>
    <xf numFmtId="0" fontId="6" fillId="2" borderId="7" xfId="0" applyFont="1" applyFill="1" applyBorder="1" applyAlignment="1">
      <alignment horizontal="center"/>
    </xf>
    <xf numFmtId="0" fontId="13" fillId="2" borderId="7" xfId="0" applyFont="1" applyFill="1" applyBorder="1" applyAlignment="1">
      <alignment horizontal="center"/>
    </xf>
    <xf numFmtId="175" fontId="6" fillId="2" borderId="4" xfId="0" applyNumberFormat="1" applyFont="1" applyFill="1" applyBorder="1" applyAlignment="1">
      <alignment horizontal="center"/>
    </xf>
    <xf numFmtId="174" fontId="0" fillId="2" borderId="10" xfId="0" applyNumberFormat="1" applyFill="1" applyBorder="1"/>
    <xf numFmtId="167" fontId="0" fillId="2" borderId="10" xfId="0" applyNumberFormat="1" applyFill="1" applyBorder="1"/>
    <xf numFmtId="174" fontId="5" fillId="2" borderId="7" xfId="0" applyNumberFormat="1" applyFont="1" applyFill="1" applyBorder="1"/>
    <xf numFmtId="174" fontId="0" fillId="2" borderId="4" xfId="0" applyNumberFormat="1" applyFill="1" applyBorder="1"/>
    <xf numFmtId="174" fontId="0" fillId="2" borderId="11" xfId="0" applyNumberFormat="1" applyFill="1" applyBorder="1"/>
    <xf numFmtId="0" fontId="0" fillId="2" borderId="12" xfId="0" applyFill="1" applyBorder="1"/>
    <xf numFmtId="14" fontId="0" fillId="16" borderId="15" xfId="0" applyNumberFormat="1" applyFill="1" applyBorder="1"/>
    <xf numFmtId="174" fontId="0" fillId="16" borderId="15" xfId="0" applyNumberFormat="1" applyFill="1" applyBorder="1"/>
    <xf numFmtId="167" fontId="0" fillId="16" borderId="15" xfId="0" applyNumberFormat="1" applyFill="1" applyBorder="1"/>
    <xf numFmtId="174" fontId="0" fillId="2" borderId="6" xfId="0" applyNumberFormat="1" applyFill="1" applyBorder="1"/>
    <xf numFmtId="174" fontId="0" fillId="2" borderId="12" xfId="0" applyNumberFormat="1" applyFill="1" applyBorder="1"/>
    <xf numFmtId="174" fontId="0" fillId="2" borderId="13" xfId="0" applyNumberFormat="1" applyFill="1" applyBorder="1"/>
    <xf numFmtId="174" fontId="0" fillId="2" borderId="0" xfId="0" applyNumberFormat="1" applyFill="1"/>
    <xf numFmtId="167" fontId="0" fillId="2" borderId="6" xfId="2" applyNumberFormat="1" applyFont="1" applyFill="1" applyBorder="1"/>
    <xf numFmtId="167" fontId="0" fillId="2" borderId="12" xfId="2" applyNumberFormat="1" applyFont="1" applyFill="1" applyBorder="1"/>
    <xf numFmtId="167" fontId="0" fillId="17" borderId="12" xfId="2" applyNumberFormat="1" applyFont="1" applyFill="1" applyBorder="1"/>
    <xf numFmtId="167" fontId="0" fillId="2" borderId="0" xfId="0" applyNumberFormat="1" applyFill="1"/>
    <xf numFmtId="167" fontId="0" fillId="18" borderId="6" xfId="2" applyNumberFormat="1" applyFont="1" applyFill="1" applyBorder="1"/>
    <xf numFmtId="167" fontId="0" fillId="0" borderId="0" xfId="0" applyNumberFormat="1"/>
    <xf numFmtId="167" fontId="1" fillId="2" borderId="0" xfId="2" applyNumberFormat="1" applyFill="1"/>
    <xf numFmtId="10" fontId="0" fillId="0" borderId="0" xfId="2" applyNumberFormat="1" applyFont="1"/>
    <xf numFmtId="0" fontId="0" fillId="0" borderId="12" xfId="0" applyBorder="1"/>
    <xf numFmtId="0" fontId="0" fillId="0" borderId="6" xfId="0" applyBorder="1"/>
    <xf numFmtId="167" fontId="0" fillId="18" borderId="9" xfId="2" applyNumberFormat="1" applyFont="1" applyFill="1" applyBorder="1"/>
    <xf numFmtId="167" fontId="0" fillId="17" borderId="8" xfId="2" applyNumberFormat="1" applyFont="1" applyFill="1" applyBorder="1"/>
    <xf numFmtId="174" fontId="0" fillId="2" borderId="9" xfId="0" applyNumberFormat="1" applyFill="1" applyBorder="1"/>
    <xf numFmtId="0" fontId="6" fillId="2" borderId="0" xfId="0" applyFont="1" applyFill="1" applyAlignment="1">
      <alignment horizontal="left"/>
    </xf>
    <xf numFmtId="168" fontId="0" fillId="2" borderId="3" xfId="1" applyNumberFormat="1" applyFont="1" applyFill="1" applyBorder="1"/>
    <xf numFmtId="43" fontId="0" fillId="0" borderId="0" xfId="1" applyFont="1"/>
    <xf numFmtId="0" fontId="6" fillId="2" borderId="4" xfId="0" applyFont="1" applyFill="1" applyBorder="1" applyAlignment="1">
      <alignment horizontal="center" vertical="center" textRotation="90"/>
    </xf>
    <xf numFmtId="0" fontId="6" fillId="2" borderId="6" xfId="0" applyFont="1" applyFill="1" applyBorder="1" applyAlignment="1">
      <alignment horizontal="center" vertical="center" textRotation="90"/>
    </xf>
    <xf numFmtId="0" fontId="6" fillId="2" borderId="9" xfId="0" applyFont="1" applyFill="1" applyBorder="1" applyAlignment="1">
      <alignment horizontal="center" vertical="center" textRotation="90"/>
    </xf>
    <xf numFmtId="0" fontId="6" fillId="2" borderId="11" xfId="0" applyFont="1" applyFill="1" applyBorder="1" applyAlignment="1">
      <alignment horizontal="center" vertical="center" textRotation="90"/>
    </xf>
    <xf numFmtId="0" fontId="6" fillId="2" borderId="13" xfId="0" applyFont="1" applyFill="1" applyBorder="1" applyAlignment="1">
      <alignment horizontal="center" vertical="center" textRotation="90"/>
    </xf>
    <xf numFmtId="0" fontId="6" fillId="2" borderId="14" xfId="0" applyFont="1" applyFill="1" applyBorder="1" applyAlignment="1">
      <alignment horizontal="center" vertical="center" textRotation="90"/>
    </xf>
    <xf numFmtId="0" fontId="3" fillId="0" borderId="4" xfId="0" applyFont="1" applyBorder="1" applyAlignment="1">
      <alignment horizontal="center" vertical="center" textRotation="90"/>
    </xf>
    <xf numFmtId="0" fontId="3" fillId="0" borderId="6" xfId="0" applyFont="1" applyBorder="1" applyAlignment="1">
      <alignment horizontal="center" vertical="center" textRotation="90"/>
    </xf>
    <xf numFmtId="0" fontId="3" fillId="0" borderId="9" xfId="0" applyFont="1" applyBorder="1" applyAlignment="1">
      <alignment horizontal="center" vertical="center" textRotation="90"/>
    </xf>
    <xf numFmtId="0" fontId="3" fillId="0" borderId="16" xfId="0" applyFont="1" applyBorder="1" applyAlignment="1">
      <alignment horizontal="center" vertical="center" textRotation="90"/>
    </xf>
    <xf numFmtId="0" fontId="3" fillId="0" borderId="17" xfId="0" applyFont="1" applyBorder="1" applyAlignment="1">
      <alignment horizontal="center" vertical="center" textRotation="90"/>
    </xf>
    <xf numFmtId="0" fontId="3" fillId="0" borderId="18" xfId="0" applyFont="1" applyBorder="1" applyAlignment="1">
      <alignment horizontal="center" vertical="center" textRotation="90"/>
    </xf>
    <xf numFmtId="0" fontId="6" fillId="5" borderId="1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5" xfId="0" applyFont="1" applyFill="1" applyBorder="1" applyAlignment="1">
      <alignment horizontal="center"/>
    </xf>
    <xf numFmtId="0" fontId="9" fillId="13" borderId="2" xfId="0" applyFont="1" applyFill="1" applyBorder="1" applyAlignment="1">
      <alignment horizontal="center"/>
    </xf>
    <xf numFmtId="0" fontId="9" fillId="15" borderId="15" xfId="6" applyFont="1" applyFill="1" applyBorder="1" applyAlignment="1">
      <alignment horizontal="center"/>
    </xf>
    <xf numFmtId="0" fontId="9" fillId="15" borderId="15" xfId="0" applyFont="1" applyFill="1" applyBorder="1" applyAlignment="1">
      <alignment horizontal="center"/>
    </xf>
  </cellXfs>
  <cellStyles count="9">
    <cellStyle name="Comma" xfId="1" builtinId="3"/>
    <cellStyle name="Millares 2" xfId="5" xr:uid="{937CFCB9-B953-4C6E-89AF-1B4F92954584}"/>
    <cellStyle name="Millares 3" xfId="3" xr:uid="{BC0BC702-C1CF-457D-8DB2-0461D86B32AA}"/>
    <cellStyle name="Millares 4" xfId="8" xr:uid="{ED3382DA-EEF2-49F8-9CD3-C5F8BE88434F}"/>
    <cellStyle name="Normal" xfId="0" builtinId="0"/>
    <cellStyle name="Normal 2" xfId="4" xr:uid="{8E5E429E-86A1-4DC7-A816-56AA2F1DD959}"/>
    <cellStyle name="Normal 7" xfId="6" xr:uid="{91D623E7-CF67-4100-AB52-BCAB1D512120}"/>
    <cellStyle name="Percent" xfId="2" builtinId="5"/>
    <cellStyle name="Porcentaje 4" xfId="7" xr:uid="{0E2B2909-154C-4F4B-9114-0EFF39CB23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Intensidad de default USD</a:t>
            </a:r>
          </a:p>
        </c:rich>
      </c:tx>
      <c:layout>
        <c:manualLayout>
          <c:xMode val="edge"/>
          <c:yMode val="edge"/>
          <c:x val="0.29294355647702536"/>
          <c:y val="1.519566386291235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'[2]CDS USD'!$B$4:$B$43</c:f>
              <c:numCache>
                <c:formatCode>m/d/yyyy</c:formatCode>
                <c:ptCount val="40"/>
                <c:pt idx="0">
                  <c:v>43999</c:v>
                </c:pt>
                <c:pt idx="1">
                  <c:v>44091</c:v>
                </c:pt>
                <c:pt idx="2">
                  <c:v>44182</c:v>
                </c:pt>
                <c:pt idx="3">
                  <c:v>44272</c:v>
                </c:pt>
                <c:pt idx="4">
                  <c:v>44364</c:v>
                </c:pt>
                <c:pt idx="5">
                  <c:v>44456</c:v>
                </c:pt>
                <c:pt idx="6">
                  <c:v>44547</c:v>
                </c:pt>
                <c:pt idx="7">
                  <c:v>44637</c:v>
                </c:pt>
                <c:pt idx="8">
                  <c:v>44729</c:v>
                </c:pt>
                <c:pt idx="9">
                  <c:v>44821</c:v>
                </c:pt>
                <c:pt idx="10">
                  <c:v>44912</c:v>
                </c:pt>
                <c:pt idx="11">
                  <c:v>45002</c:v>
                </c:pt>
                <c:pt idx="12">
                  <c:v>45094</c:v>
                </c:pt>
                <c:pt idx="13">
                  <c:v>45186</c:v>
                </c:pt>
                <c:pt idx="14">
                  <c:v>45277</c:v>
                </c:pt>
                <c:pt idx="15">
                  <c:v>45368</c:v>
                </c:pt>
                <c:pt idx="16">
                  <c:v>45460</c:v>
                </c:pt>
                <c:pt idx="17">
                  <c:v>45552</c:v>
                </c:pt>
                <c:pt idx="18">
                  <c:v>45643</c:v>
                </c:pt>
                <c:pt idx="19">
                  <c:v>45733</c:v>
                </c:pt>
                <c:pt idx="20">
                  <c:v>45825</c:v>
                </c:pt>
                <c:pt idx="21">
                  <c:v>45917</c:v>
                </c:pt>
                <c:pt idx="22">
                  <c:v>46008</c:v>
                </c:pt>
                <c:pt idx="23">
                  <c:v>46098</c:v>
                </c:pt>
                <c:pt idx="24">
                  <c:v>46190</c:v>
                </c:pt>
                <c:pt idx="25">
                  <c:v>46282</c:v>
                </c:pt>
                <c:pt idx="26">
                  <c:v>46373</c:v>
                </c:pt>
                <c:pt idx="27">
                  <c:v>46463</c:v>
                </c:pt>
                <c:pt idx="28">
                  <c:v>46555</c:v>
                </c:pt>
                <c:pt idx="29">
                  <c:v>46647</c:v>
                </c:pt>
                <c:pt idx="30">
                  <c:v>46738</c:v>
                </c:pt>
                <c:pt idx="31">
                  <c:v>46829</c:v>
                </c:pt>
                <c:pt idx="32">
                  <c:v>46921</c:v>
                </c:pt>
                <c:pt idx="33">
                  <c:v>47013</c:v>
                </c:pt>
                <c:pt idx="34">
                  <c:v>47104</c:v>
                </c:pt>
                <c:pt idx="35">
                  <c:v>47194</c:v>
                </c:pt>
                <c:pt idx="36">
                  <c:v>47286</c:v>
                </c:pt>
                <c:pt idx="37">
                  <c:v>47378</c:v>
                </c:pt>
                <c:pt idx="38">
                  <c:v>47469</c:v>
                </c:pt>
                <c:pt idx="39">
                  <c:v>47559</c:v>
                </c:pt>
              </c:numCache>
            </c:numRef>
          </c:xVal>
          <c:yVal>
            <c:numRef>
              <c:f>'[2]CDS USD'!$D$4:$D$43</c:f>
              <c:numCache>
                <c:formatCode>0.0000%</c:formatCode>
                <c:ptCount val="40"/>
                <c:pt idx="0">
                  <c:v>4.8368937604160715E-2</c:v>
                </c:pt>
                <c:pt idx="1">
                  <c:v>4.8368937604160715E-2</c:v>
                </c:pt>
                <c:pt idx="2">
                  <c:v>4.8368937604160715E-2</c:v>
                </c:pt>
                <c:pt idx="3">
                  <c:v>4.8368937604160715E-2</c:v>
                </c:pt>
                <c:pt idx="4">
                  <c:v>5.2388735555378353E-2</c:v>
                </c:pt>
                <c:pt idx="5">
                  <c:v>5.2388735555378353E-2</c:v>
                </c:pt>
                <c:pt idx="6">
                  <c:v>5.2388735555378353E-2</c:v>
                </c:pt>
                <c:pt idx="7">
                  <c:v>5.2388735555378353E-2</c:v>
                </c:pt>
                <c:pt idx="8">
                  <c:v>5.3738837786476042E-2</c:v>
                </c:pt>
                <c:pt idx="9">
                  <c:v>5.3738837786476042E-2</c:v>
                </c:pt>
                <c:pt idx="10">
                  <c:v>5.3738837786476042E-2</c:v>
                </c:pt>
                <c:pt idx="11">
                  <c:v>5.3738837786476042E-2</c:v>
                </c:pt>
                <c:pt idx="12">
                  <c:v>6.2859234407886655E-2</c:v>
                </c:pt>
                <c:pt idx="13">
                  <c:v>6.2859234407886655E-2</c:v>
                </c:pt>
                <c:pt idx="14">
                  <c:v>6.2859234407886655E-2</c:v>
                </c:pt>
                <c:pt idx="15">
                  <c:v>6.2859234407886655E-2</c:v>
                </c:pt>
                <c:pt idx="16">
                  <c:v>6.2859234407886655E-2</c:v>
                </c:pt>
                <c:pt idx="17">
                  <c:v>6.2859234407886655E-2</c:v>
                </c:pt>
                <c:pt idx="18">
                  <c:v>6.2859234407886655E-2</c:v>
                </c:pt>
                <c:pt idx="19">
                  <c:v>6.2859234407886655E-2</c:v>
                </c:pt>
                <c:pt idx="20">
                  <c:v>6.5479414595657287E-2</c:v>
                </c:pt>
                <c:pt idx="21">
                  <c:v>6.5479414595657287E-2</c:v>
                </c:pt>
                <c:pt idx="22">
                  <c:v>6.5479414595657287E-2</c:v>
                </c:pt>
                <c:pt idx="23">
                  <c:v>6.5479414595657287E-2</c:v>
                </c:pt>
                <c:pt idx="24">
                  <c:v>6.5479414595657287E-2</c:v>
                </c:pt>
                <c:pt idx="25">
                  <c:v>6.5479414595657287E-2</c:v>
                </c:pt>
                <c:pt idx="26">
                  <c:v>6.5479414595657287E-2</c:v>
                </c:pt>
                <c:pt idx="27">
                  <c:v>6.5479414595657287E-2</c:v>
                </c:pt>
                <c:pt idx="28">
                  <c:v>6.5479414595657287E-2</c:v>
                </c:pt>
                <c:pt idx="29">
                  <c:v>6.5479414595657287E-2</c:v>
                </c:pt>
                <c:pt idx="30">
                  <c:v>6.5479414595657287E-2</c:v>
                </c:pt>
                <c:pt idx="31">
                  <c:v>6.5479414595657287E-2</c:v>
                </c:pt>
                <c:pt idx="32">
                  <c:v>6.5479414595657287E-2</c:v>
                </c:pt>
                <c:pt idx="33">
                  <c:v>6.5479414595657287E-2</c:v>
                </c:pt>
                <c:pt idx="34">
                  <c:v>6.5479414595657287E-2</c:v>
                </c:pt>
                <c:pt idx="35">
                  <c:v>6.5479414595657287E-2</c:v>
                </c:pt>
                <c:pt idx="36">
                  <c:v>6.5479414595657287E-2</c:v>
                </c:pt>
                <c:pt idx="37">
                  <c:v>6.5479414595657287E-2</c:v>
                </c:pt>
                <c:pt idx="38">
                  <c:v>6.5479414595657287E-2</c:v>
                </c:pt>
                <c:pt idx="39">
                  <c:v>6.5479414595657287E-2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9A-4942-B8D4-0BAB42AF0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096448"/>
        <c:axId val="503097984"/>
      </c:scatterChart>
      <c:valAx>
        <c:axId val="503096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097984"/>
        <c:crosses val="autoZero"/>
        <c:crossBetween val="midCat"/>
      </c:valAx>
      <c:valAx>
        <c:axId val="5030979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096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Prob acumulada </a:t>
            </a:r>
          </a:p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de supervivencia USD</a:t>
            </a:r>
          </a:p>
        </c:rich>
      </c:tx>
      <c:layout>
        <c:manualLayout>
          <c:xMode val="edge"/>
          <c:yMode val="edge"/>
          <c:x val="0.39047480631503323"/>
          <c:y val="1.519566386291235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'[2]CDS USD'!$B$4:$B$43</c:f>
              <c:numCache>
                <c:formatCode>m/d/yyyy</c:formatCode>
                <c:ptCount val="40"/>
                <c:pt idx="0">
                  <c:v>43999</c:v>
                </c:pt>
                <c:pt idx="1">
                  <c:v>44091</c:v>
                </c:pt>
                <c:pt idx="2">
                  <c:v>44182</c:v>
                </c:pt>
                <c:pt idx="3">
                  <c:v>44272</c:v>
                </c:pt>
                <c:pt idx="4">
                  <c:v>44364</c:v>
                </c:pt>
                <c:pt idx="5">
                  <c:v>44456</c:v>
                </c:pt>
                <c:pt idx="6">
                  <c:v>44547</c:v>
                </c:pt>
                <c:pt idx="7">
                  <c:v>44637</c:v>
                </c:pt>
                <c:pt idx="8">
                  <c:v>44729</c:v>
                </c:pt>
                <c:pt idx="9">
                  <c:v>44821</c:v>
                </c:pt>
                <c:pt idx="10">
                  <c:v>44912</c:v>
                </c:pt>
                <c:pt idx="11">
                  <c:v>45002</c:v>
                </c:pt>
                <c:pt idx="12">
                  <c:v>45094</c:v>
                </c:pt>
                <c:pt idx="13">
                  <c:v>45186</c:v>
                </c:pt>
                <c:pt idx="14">
                  <c:v>45277</c:v>
                </c:pt>
                <c:pt idx="15">
                  <c:v>45368</c:v>
                </c:pt>
                <c:pt idx="16">
                  <c:v>45460</c:v>
                </c:pt>
                <c:pt idx="17">
                  <c:v>45552</c:v>
                </c:pt>
                <c:pt idx="18">
                  <c:v>45643</c:v>
                </c:pt>
                <c:pt idx="19">
                  <c:v>45733</c:v>
                </c:pt>
                <c:pt idx="20">
                  <c:v>45825</c:v>
                </c:pt>
                <c:pt idx="21">
                  <c:v>45917</c:v>
                </c:pt>
                <c:pt idx="22">
                  <c:v>46008</c:v>
                </c:pt>
                <c:pt idx="23">
                  <c:v>46098</c:v>
                </c:pt>
                <c:pt idx="24">
                  <c:v>46190</c:v>
                </c:pt>
                <c:pt idx="25">
                  <c:v>46282</c:v>
                </c:pt>
                <c:pt idx="26">
                  <c:v>46373</c:v>
                </c:pt>
                <c:pt idx="27">
                  <c:v>46463</c:v>
                </c:pt>
                <c:pt idx="28">
                  <c:v>46555</c:v>
                </c:pt>
                <c:pt idx="29">
                  <c:v>46647</c:v>
                </c:pt>
                <c:pt idx="30">
                  <c:v>46738</c:v>
                </c:pt>
                <c:pt idx="31">
                  <c:v>46829</c:v>
                </c:pt>
                <c:pt idx="32">
                  <c:v>46921</c:v>
                </c:pt>
                <c:pt idx="33">
                  <c:v>47013</c:v>
                </c:pt>
                <c:pt idx="34">
                  <c:v>47104</c:v>
                </c:pt>
                <c:pt idx="35">
                  <c:v>47194</c:v>
                </c:pt>
                <c:pt idx="36">
                  <c:v>47286</c:v>
                </c:pt>
                <c:pt idx="37">
                  <c:v>47378</c:v>
                </c:pt>
                <c:pt idx="38">
                  <c:v>47469</c:v>
                </c:pt>
                <c:pt idx="39">
                  <c:v>47559</c:v>
                </c:pt>
              </c:numCache>
            </c:numRef>
          </c:xVal>
          <c:yVal>
            <c:numRef>
              <c:f>'[2]CDS USD'!$G$4:$G$43</c:f>
              <c:numCache>
                <c:formatCode>General</c:formatCode>
                <c:ptCount val="40"/>
                <c:pt idx="0">
                  <c:v>0.98788239410213596</c:v>
                </c:pt>
                <c:pt idx="1">
                  <c:v>0.97591162457696778</c:v>
                </c:pt>
                <c:pt idx="2">
                  <c:v>0.96421367897189458</c:v>
                </c:pt>
                <c:pt idx="3">
                  <c:v>0.95278220504156075</c:v>
                </c:pt>
                <c:pt idx="4">
                  <c:v>0.93651141559908335</c:v>
                </c:pt>
                <c:pt idx="5">
                  <c:v>0.92422623012881999</c:v>
                </c:pt>
                <c:pt idx="6">
                  <c:v>0.91223312623655273</c:v>
                </c:pt>
                <c:pt idx="7">
                  <c:v>0.90052489309552186</c:v>
                </c:pt>
                <c:pt idx="8">
                  <c:v>0.88601375179074293</c:v>
                </c:pt>
                <c:pt idx="9">
                  <c:v>0.87409349181710128</c:v>
                </c:pt>
                <c:pt idx="10">
                  <c:v>0.86246057520507069</c:v>
                </c:pt>
                <c:pt idx="11">
                  <c:v>0.85110777495299084</c:v>
                </c:pt>
                <c:pt idx="12">
                  <c:v>0.81511858387699121</c:v>
                </c:pt>
                <c:pt idx="13">
                  <c:v>0.80230564032848184</c:v>
                </c:pt>
                <c:pt idx="14">
                  <c:v>0.7898301154501417</c:v>
                </c:pt>
                <c:pt idx="15">
                  <c:v>0.77754857988605619</c:v>
                </c:pt>
                <c:pt idx="16">
                  <c:v>0.76532620358723902</c:v>
                </c:pt>
                <c:pt idx="17">
                  <c:v>0.75329595223888057</c:v>
                </c:pt>
                <c:pt idx="18">
                  <c:v>0.74158250798456682</c:v>
                </c:pt>
                <c:pt idx="19">
                  <c:v>0.73017694111585874</c:v>
                </c:pt>
                <c:pt idx="20">
                  <c:v>0.70887159997569771</c:v>
                </c:pt>
                <c:pt idx="21">
                  <c:v>0.69726811692210799</c:v>
                </c:pt>
                <c:pt idx="22">
                  <c:v>0.68597762105855931</c:v>
                </c:pt>
                <c:pt idx="23">
                  <c:v>0.6749910258531413</c:v>
                </c:pt>
                <c:pt idx="24">
                  <c:v>0.66394213218878728</c:v>
                </c:pt>
                <c:pt idx="25">
                  <c:v>0.65307409730111377</c:v>
                </c:pt>
                <c:pt idx="26">
                  <c:v>0.64249921195182025</c:v>
                </c:pt>
                <c:pt idx="27">
                  <c:v>0.63220896552858885</c:v>
                </c:pt>
                <c:pt idx="28">
                  <c:v>0.62186036922695964</c:v>
                </c:pt>
                <c:pt idx="29">
                  <c:v>0.61168116857020971</c:v>
                </c:pt>
                <c:pt idx="30">
                  <c:v>0.60177653714372481</c:v>
                </c:pt>
                <c:pt idx="31">
                  <c:v>0.59203228620422454</c:v>
                </c:pt>
                <c:pt idx="32">
                  <c:v>0.58234133991665393</c:v>
                </c:pt>
                <c:pt idx="33">
                  <c:v>0.57280902423443558</c:v>
                </c:pt>
                <c:pt idx="34">
                  <c:v>0.56353382899494808</c:v>
                </c:pt>
                <c:pt idx="35">
                  <c:v>0.55450828956966391</c:v>
                </c:pt>
                <c:pt idx="36">
                  <c:v>0.54543157166854161</c:v>
                </c:pt>
                <c:pt idx="37">
                  <c:v>0.53650343009965151</c:v>
                </c:pt>
                <c:pt idx="38">
                  <c:v>0.52781611224972813</c:v>
                </c:pt>
                <c:pt idx="39">
                  <c:v>0.51936262661088661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E4-4531-B35C-84B1FD25E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5792"/>
        <c:axId val="503115776"/>
      </c:scatterChart>
      <c:valAx>
        <c:axId val="50310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15776"/>
        <c:crosses val="autoZero"/>
        <c:crossBetween val="midCat"/>
      </c:valAx>
      <c:valAx>
        <c:axId val="50311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057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Tasas Par</c:v>
          </c:tx>
          <c:xVal>
            <c:numRef>
              <c:f>[2]DATOS!$C$5:$C$20</c:f>
              <c:numCache>
                <c:formatCode>0.00</c:formatCode>
                <c:ptCount val="16"/>
                <c:pt idx="0">
                  <c:v>2.7777777777777779E-3</c:v>
                </c:pt>
                <c:pt idx="1">
                  <c:v>8.611111111111111E-2</c:v>
                </c:pt>
                <c:pt idx="2">
                  <c:v>0.25555555555555554</c:v>
                </c:pt>
                <c:pt idx="3">
                  <c:v>0.51111111111111107</c:v>
                </c:pt>
                <c:pt idx="4">
                  <c:v>0.76388888888888884</c:v>
                </c:pt>
                <c:pt idx="5">
                  <c:v>1.0138888888888888</c:v>
                </c:pt>
                <c:pt idx="6">
                  <c:v>1.5249999999999999</c:v>
                </c:pt>
                <c:pt idx="7">
                  <c:v>2.0277777777777777</c:v>
                </c:pt>
                <c:pt idx="8">
                  <c:v>3.0416666666666665</c:v>
                </c:pt>
                <c:pt idx="9">
                  <c:v>4.0583333333333336</c:v>
                </c:pt>
                <c:pt idx="10">
                  <c:v>5.072222222222222</c:v>
                </c:pt>
                <c:pt idx="11">
                  <c:v>6.0861111111111112</c:v>
                </c:pt>
                <c:pt idx="12">
                  <c:v>7.1</c:v>
                </c:pt>
                <c:pt idx="13">
                  <c:v>8.1166666666666671</c:v>
                </c:pt>
                <c:pt idx="14">
                  <c:v>9.1305555555555564</c:v>
                </c:pt>
                <c:pt idx="15">
                  <c:v>10.144444444444444</c:v>
                </c:pt>
              </c:numCache>
            </c:numRef>
          </c:xVal>
          <c:yVal>
            <c:numRef>
              <c:f>[2]DATOS!$D$5:$D$20</c:f>
              <c:numCache>
                <c:formatCode>0.000%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2D-4819-B221-B6822EFD8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10656"/>
        <c:axId val="530312192"/>
      </c:scatterChart>
      <c:scatterChart>
        <c:scatterStyle val="smoothMarker"/>
        <c:varyColors val="0"/>
        <c:ser>
          <c:idx val="0"/>
          <c:order val="0"/>
          <c:tx>
            <c:strRef>
              <c:f>'[2]Curva OIS USD'!$D$2</c:f>
              <c:strCache>
                <c:ptCount val="1"/>
                <c:pt idx="0">
                  <c:v>Tasas Spot</c:v>
                </c:pt>
              </c:strCache>
            </c:strRef>
          </c:tx>
          <c:marker>
            <c:symbol val="none"/>
          </c:marker>
          <c:xVal>
            <c:numRef>
              <c:f>'[2]Curva OIS USD'!$C$3:$C$45</c:f>
              <c:numCache>
                <c:formatCode>0.0000</c:formatCode>
                <c:ptCount val="43"/>
                <c:pt idx="0">
                  <c:v>0</c:v>
                </c:pt>
                <c:pt idx="1">
                  <c:v>2.7777777777777779E-3</c:v>
                </c:pt>
                <c:pt idx="2">
                  <c:v>8.611111111111111E-2</c:v>
                </c:pt>
                <c:pt idx="3">
                  <c:v>0.25555555555555554</c:v>
                </c:pt>
                <c:pt idx="4">
                  <c:v>0.51111111111111107</c:v>
                </c:pt>
                <c:pt idx="5">
                  <c:v>0.76388888888888884</c:v>
                </c:pt>
                <c:pt idx="6">
                  <c:v>1.0138888888888888</c:v>
                </c:pt>
                <c:pt idx="7">
                  <c:v>1.2694444444444444</c:v>
                </c:pt>
                <c:pt idx="8">
                  <c:v>1.5249999999999999</c:v>
                </c:pt>
                <c:pt idx="9">
                  <c:v>1.7777777777777777</c:v>
                </c:pt>
                <c:pt idx="10">
                  <c:v>2.0277777777777777</c:v>
                </c:pt>
                <c:pt idx="11">
                  <c:v>2.2833333333333332</c:v>
                </c:pt>
                <c:pt idx="12">
                  <c:v>2.5388888888888888</c:v>
                </c:pt>
                <c:pt idx="13">
                  <c:v>2.7916666666666665</c:v>
                </c:pt>
                <c:pt idx="14">
                  <c:v>3.0416666666666665</c:v>
                </c:pt>
                <c:pt idx="15">
                  <c:v>3.2972222222222221</c:v>
                </c:pt>
                <c:pt idx="16">
                  <c:v>3.5527777777777776</c:v>
                </c:pt>
                <c:pt idx="17">
                  <c:v>3.8055555555555554</c:v>
                </c:pt>
                <c:pt idx="18">
                  <c:v>4.0583333333333336</c:v>
                </c:pt>
                <c:pt idx="19">
                  <c:v>4.3138888888888891</c:v>
                </c:pt>
                <c:pt idx="20">
                  <c:v>4.5694444444444446</c:v>
                </c:pt>
                <c:pt idx="21">
                  <c:v>4.822222222222222</c:v>
                </c:pt>
                <c:pt idx="22">
                  <c:v>5.072222222222222</c:v>
                </c:pt>
                <c:pt idx="23">
                  <c:v>5.3277777777777775</c:v>
                </c:pt>
                <c:pt idx="24">
                  <c:v>5.583333333333333</c:v>
                </c:pt>
                <c:pt idx="25">
                  <c:v>5.8361111111111112</c:v>
                </c:pt>
                <c:pt idx="26">
                  <c:v>6.0861111111111112</c:v>
                </c:pt>
                <c:pt idx="27">
                  <c:v>6.3416666666666668</c:v>
                </c:pt>
                <c:pt idx="28">
                  <c:v>6.5972222222222223</c:v>
                </c:pt>
                <c:pt idx="29">
                  <c:v>6.85</c:v>
                </c:pt>
                <c:pt idx="30">
                  <c:v>7.1</c:v>
                </c:pt>
                <c:pt idx="31">
                  <c:v>7.3555555555555552</c:v>
                </c:pt>
                <c:pt idx="32">
                  <c:v>7.6111111111111107</c:v>
                </c:pt>
                <c:pt idx="33">
                  <c:v>7.8638888888888889</c:v>
                </c:pt>
                <c:pt idx="34">
                  <c:v>8.1166666666666671</c:v>
                </c:pt>
                <c:pt idx="35">
                  <c:v>8.3722222222222218</c:v>
                </c:pt>
                <c:pt idx="36">
                  <c:v>8.6277777777777782</c:v>
                </c:pt>
                <c:pt idx="37">
                  <c:v>8.8805555555555564</c:v>
                </c:pt>
                <c:pt idx="38">
                  <c:v>9.1305555555555564</c:v>
                </c:pt>
                <c:pt idx="39">
                  <c:v>9.3861111111111111</c:v>
                </c:pt>
                <c:pt idx="40">
                  <c:v>9.6416666666666675</c:v>
                </c:pt>
                <c:pt idx="41">
                  <c:v>9.8944444444444439</c:v>
                </c:pt>
                <c:pt idx="42">
                  <c:v>10.144444444444444</c:v>
                </c:pt>
              </c:numCache>
            </c:numRef>
          </c:xVal>
          <c:yVal>
            <c:numRef>
              <c:f>'[2]Curva OIS USD'!$D$3:$D$45</c:f>
              <c:numCache>
                <c:formatCode>0.0000%</c:formatCode>
                <c:ptCount val="43"/>
                <c:pt idx="0">
                  <c:v>1.1777714397185383E-3</c:v>
                </c:pt>
                <c:pt idx="1">
                  <c:v>1.1777714397185383E-3</c:v>
                </c:pt>
                <c:pt idx="2">
                  <c:v>1.2623705816973158E-3</c:v>
                </c:pt>
                <c:pt idx="3">
                  <c:v>1.299999827874002E-3</c:v>
                </c:pt>
                <c:pt idx="4">
                  <c:v>1.87500003520907E-3</c:v>
                </c:pt>
                <c:pt idx="5">
                  <c:v>2.6900001283450157E-3</c:v>
                </c:pt>
                <c:pt idx="6">
                  <c:v>3.6100002649272298E-3</c:v>
                </c:pt>
                <c:pt idx="7">
                  <c:v>4.6083564708492234E-3</c:v>
                </c:pt>
                <c:pt idx="8">
                  <c:v>5.6067126767712179E-3</c:v>
                </c:pt>
                <c:pt idx="9">
                  <c:v>6.6316042599432468E-3</c:v>
                </c:pt>
                <c:pt idx="10">
                  <c:v>7.6452332982452527E-3</c:v>
                </c:pt>
                <c:pt idx="11">
                  <c:v>8.519368108707872E-3</c:v>
                </c:pt>
                <c:pt idx="12">
                  <c:v>9.3935029191704895E-3</c:v>
                </c:pt>
                <c:pt idx="13">
                  <c:v>1.0258136264301993E-2</c:v>
                </c:pt>
                <c:pt idx="14">
                  <c:v>1.111326814410238E-2</c:v>
                </c:pt>
                <c:pt idx="15">
                  <c:v>1.1758931696188872E-2</c:v>
                </c:pt>
                <c:pt idx="16">
                  <c:v>1.2404595248275366E-2</c:v>
                </c:pt>
                <c:pt idx="17">
                  <c:v>1.3043240718273962E-2</c:v>
                </c:pt>
                <c:pt idx="18">
                  <c:v>1.368188618827256E-2</c:v>
                </c:pt>
                <c:pt idx="19">
                  <c:v>1.414504609625686E-2</c:v>
                </c:pt>
                <c:pt idx="20">
                  <c:v>1.4608206004241162E-2</c:v>
                </c:pt>
                <c:pt idx="21">
                  <c:v>1.5066331565399545E-2</c:v>
                </c:pt>
                <c:pt idx="22">
                  <c:v>1.5519422779732013E-2</c:v>
                </c:pt>
                <c:pt idx="23">
                  <c:v>1.5881828088928445E-2</c:v>
                </c:pt>
                <c:pt idx="24">
                  <c:v>1.6244233398124874E-2</c:v>
                </c:pt>
                <c:pt idx="25">
                  <c:v>1.6602699519177866E-2</c:v>
                </c:pt>
                <c:pt idx="26">
                  <c:v>1.6957226452087418E-2</c:v>
                </c:pt>
                <c:pt idx="27">
                  <c:v>1.7256842921508003E-2</c:v>
                </c:pt>
                <c:pt idx="28">
                  <c:v>1.7556459390928592E-2</c:v>
                </c:pt>
                <c:pt idx="29">
                  <c:v>1.7852819159594604E-2</c:v>
                </c:pt>
                <c:pt idx="30">
                  <c:v>1.8145922227506047E-2</c:v>
                </c:pt>
                <c:pt idx="31">
                  <c:v>1.8372302499833744E-2</c:v>
                </c:pt>
                <c:pt idx="32">
                  <c:v>1.8598682772161441E-2</c:v>
                </c:pt>
                <c:pt idx="33">
                  <c:v>1.8822602389355139E-2</c:v>
                </c:pt>
                <c:pt idx="34">
                  <c:v>1.9046522006548841E-2</c:v>
                </c:pt>
                <c:pt idx="35">
                  <c:v>1.9251759463930953E-2</c:v>
                </c:pt>
                <c:pt idx="36">
                  <c:v>1.9456996921313065E-2</c:v>
                </c:pt>
                <c:pt idx="37">
                  <c:v>1.9660003536767109E-2</c:v>
                </c:pt>
                <c:pt idx="38">
                  <c:v>1.9860779310293088E-2</c:v>
                </c:pt>
                <c:pt idx="39">
                  <c:v>2.0004216950499264E-2</c:v>
                </c:pt>
                <c:pt idx="40">
                  <c:v>2.014765459070544E-2</c:v>
                </c:pt>
                <c:pt idx="41">
                  <c:v>2.0289533126126764E-2</c:v>
                </c:pt>
                <c:pt idx="42">
                  <c:v>2.0429852556763241E-2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2D-4819-B221-B6822EFD86F2}"/>
            </c:ext>
          </c:extLst>
        </c:ser>
        <c:ser>
          <c:idx val="2"/>
          <c:order val="2"/>
          <c:tx>
            <c:strRef>
              <c:f>'[2]Curva OIS USD'!$AA$2</c:f>
              <c:strCache>
                <c:ptCount val="1"/>
                <c:pt idx="0">
                  <c:v>Roll FWD</c:v>
                </c:pt>
              </c:strCache>
            </c:strRef>
          </c:tx>
          <c:marker>
            <c:symbol val="none"/>
          </c:marker>
          <c:xVal>
            <c:numRef>
              <c:f>'[2]Curva OIS USD'!$C$4:$C$45</c:f>
              <c:numCache>
                <c:formatCode>0.0000</c:formatCode>
                <c:ptCount val="42"/>
                <c:pt idx="0">
                  <c:v>2.7777777777777779E-3</c:v>
                </c:pt>
                <c:pt idx="1">
                  <c:v>8.611111111111111E-2</c:v>
                </c:pt>
                <c:pt idx="2">
                  <c:v>0.25555555555555554</c:v>
                </c:pt>
                <c:pt idx="3">
                  <c:v>0.51111111111111107</c:v>
                </c:pt>
                <c:pt idx="4">
                  <c:v>0.76388888888888884</c:v>
                </c:pt>
                <c:pt idx="5">
                  <c:v>1.0138888888888888</c:v>
                </c:pt>
                <c:pt idx="6">
                  <c:v>1.2694444444444444</c:v>
                </c:pt>
                <c:pt idx="7">
                  <c:v>1.5249999999999999</c:v>
                </c:pt>
                <c:pt idx="8">
                  <c:v>1.7777777777777777</c:v>
                </c:pt>
                <c:pt idx="9">
                  <c:v>2.0277777777777777</c:v>
                </c:pt>
                <c:pt idx="10">
                  <c:v>2.2833333333333332</c:v>
                </c:pt>
                <c:pt idx="11">
                  <c:v>2.5388888888888888</c:v>
                </c:pt>
                <c:pt idx="12">
                  <c:v>2.7916666666666665</c:v>
                </c:pt>
                <c:pt idx="13">
                  <c:v>3.0416666666666665</c:v>
                </c:pt>
                <c:pt idx="14">
                  <c:v>3.2972222222222221</c:v>
                </c:pt>
                <c:pt idx="15">
                  <c:v>3.5527777777777776</c:v>
                </c:pt>
                <c:pt idx="16">
                  <c:v>3.8055555555555554</c:v>
                </c:pt>
                <c:pt idx="17">
                  <c:v>4.0583333333333336</c:v>
                </c:pt>
                <c:pt idx="18">
                  <c:v>4.3138888888888891</c:v>
                </c:pt>
                <c:pt idx="19">
                  <c:v>4.5694444444444446</c:v>
                </c:pt>
                <c:pt idx="20">
                  <c:v>4.822222222222222</c:v>
                </c:pt>
                <c:pt idx="21">
                  <c:v>5.072222222222222</c:v>
                </c:pt>
                <c:pt idx="22">
                  <c:v>5.3277777777777775</c:v>
                </c:pt>
                <c:pt idx="23">
                  <c:v>5.583333333333333</c:v>
                </c:pt>
                <c:pt idx="24">
                  <c:v>5.8361111111111112</c:v>
                </c:pt>
                <c:pt idx="25">
                  <c:v>6.0861111111111112</c:v>
                </c:pt>
                <c:pt idx="26">
                  <c:v>6.3416666666666668</c:v>
                </c:pt>
                <c:pt idx="27">
                  <c:v>6.5972222222222223</c:v>
                </c:pt>
                <c:pt idx="28">
                  <c:v>6.85</c:v>
                </c:pt>
                <c:pt idx="29">
                  <c:v>7.1</c:v>
                </c:pt>
                <c:pt idx="30">
                  <c:v>7.3555555555555552</c:v>
                </c:pt>
                <c:pt idx="31">
                  <c:v>7.6111111111111107</c:v>
                </c:pt>
                <c:pt idx="32">
                  <c:v>7.8638888888888889</c:v>
                </c:pt>
                <c:pt idx="33">
                  <c:v>8.1166666666666671</c:v>
                </c:pt>
                <c:pt idx="34">
                  <c:v>8.3722222222222218</c:v>
                </c:pt>
                <c:pt idx="35">
                  <c:v>8.6277777777777782</c:v>
                </c:pt>
                <c:pt idx="36">
                  <c:v>8.8805555555555564</c:v>
                </c:pt>
                <c:pt idx="37">
                  <c:v>9.1305555555555564</c:v>
                </c:pt>
                <c:pt idx="38">
                  <c:v>9.3861111111111111</c:v>
                </c:pt>
                <c:pt idx="39">
                  <c:v>9.6416666666666675</c:v>
                </c:pt>
                <c:pt idx="40">
                  <c:v>9.8944444444444439</c:v>
                </c:pt>
                <c:pt idx="41">
                  <c:v>10.144444444444444</c:v>
                </c:pt>
              </c:numCache>
            </c:numRef>
          </c:xVal>
          <c:yVal>
            <c:numRef>
              <c:f>'[2]Curva OIS USD'!$AA$4:$AA$45</c:f>
              <c:numCache>
                <c:formatCode>0.0000%</c:formatCode>
                <c:ptCount val="42"/>
                <c:pt idx="0">
                  <c:v>1.1777714397354089E-3</c:v>
                </c:pt>
                <c:pt idx="1">
                  <c:v>1.2651864139279212E-3</c:v>
                </c:pt>
                <c:pt idx="2">
                  <c:v>1.318979508881243E-3</c:v>
                </c:pt>
                <c:pt idx="3">
                  <c:v>2.4491865684469921E-3</c:v>
                </c:pt>
                <c:pt idx="4">
                  <c:v>4.3337592185806809E-3</c:v>
                </c:pt>
                <c:pt idx="5">
                  <c:v>6.4079443570834727E-3</c:v>
                </c:pt>
                <c:pt idx="6">
                  <c:v>8.5379760205074665E-3</c:v>
                </c:pt>
                <c:pt idx="7">
                  <c:v>1.0553398458419502E-2</c:v>
                </c:pt>
                <c:pt idx="8">
                  <c:v>1.277560275544154E-2</c:v>
                </c:pt>
                <c:pt idx="9">
                  <c:v>1.4800410860689617E-2</c:v>
                </c:pt>
                <c:pt idx="10">
                  <c:v>1.5393286661800509E-2</c:v>
                </c:pt>
                <c:pt idx="11">
                  <c:v>1.712709551813596E-2</c:v>
                </c:pt>
                <c:pt idx="12">
                  <c:v>1.8849994269587E-2</c:v>
                </c:pt>
                <c:pt idx="13">
                  <c:v>2.0552605095221388E-2</c:v>
                </c:pt>
                <c:pt idx="14">
                  <c:v>1.9334821771491484E-2</c:v>
                </c:pt>
                <c:pt idx="15">
                  <c:v>2.0612233423063842E-2</c:v>
                </c:pt>
                <c:pt idx="16">
                  <c:v>2.1881895680052388E-2</c:v>
                </c:pt>
                <c:pt idx="17">
                  <c:v>2.3143820570187046E-2</c:v>
                </c:pt>
                <c:pt idx="18">
                  <c:v>2.1357000565942919E-2</c:v>
                </c:pt>
                <c:pt idx="19">
                  <c:v>2.2271841647696355E-2</c:v>
                </c:pt>
                <c:pt idx="20">
                  <c:v>2.3181297113869626E-2</c:v>
                </c:pt>
                <c:pt idx="21">
                  <c:v>2.4080407203157073E-2</c:v>
                </c:pt>
                <c:pt idx="22">
                  <c:v>2.2904126496646526E-2</c:v>
                </c:pt>
                <c:pt idx="23">
                  <c:v>2.3619086367364872E-2</c:v>
                </c:pt>
                <c:pt idx="24">
                  <c:v>2.4329908043107196E-2</c:v>
                </c:pt>
                <c:pt idx="25">
                  <c:v>2.5032713272272744E-2</c:v>
                </c:pt>
                <c:pt idx="26">
                  <c:v>2.4197951916038463E-2</c:v>
                </c:pt>
                <c:pt idx="27">
                  <c:v>2.4788460558493597E-2</c:v>
                </c:pt>
                <c:pt idx="28">
                  <c:v>2.5375587691755186E-2</c:v>
                </c:pt>
                <c:pt idx="29">
                  <c:v>2.5956129055197508E-2</c:v>
                </c:pt>
                <c:pt idx="30">
                  <c:v>2.445668797372047E-2</c:v>
                </c:pt>
                <c:pt idx="31">
                  <c:v>2.4902592349643093E-2</c:v>
                </c:pt>
                <c:pt idx="32">
                  <c:v>2.5345975171984669E-2</c:v>
                </c:pt>
                <c:pt idx="33">
                  <c:v>2.578683782324287E-2</c:v>
                </c:pt>
                <c:pt idx="34">
                  <c:v>2.5546059869288484E-2</c:v>
                </c:pt>
                <c:pt idx="35">
                  <c:v>2.5950037131186043E-2</c:v>
                </c:pt>
                <c:pt idx="36">
                  <c:v>2.6351738307578643E-2</c:v>
                </c:pt>
                <c:pt idx="37">
                  <c:v>2.6748970205878742E-2</c:v>
                </c:pt>
                <c:pt idx="38">
                  <c:v>2.4908620129585834E-2</c:v>
                </c:pt>
                <c:pt idx="39">
                  <c:v>2.519089968956667E-2</c:v>
                </c:pt>
                <c:pt idx="40">
                  <c:v>2.5471605808316866E-2</c:v>
                </c:pt>
                <c:pt idx="41">
                  <c:v>2.5749205493119653E-2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2D-4819-B221-B6822EFD8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10656"/>
        <c:axId val="530312192"/>
      </c:scatterChart>
      <c:valAx>
        <c:axId val="53031065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530312192"/>
        <c:crosses val="autoZero"/>
        <c:crossBetween val="midCat"/>
      </c:valAx>
      <c:valAx>
        <c:axId val="5303121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%" sourceLinked="1"/>
        <c:majorTickMark val="out"/>
        <c:minorTickMark val="none"/>
        <c:tickLblPos val="nextTo"/>
        <c:crossAx val="5303106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'[2]Curva OIS USD'!$D$2</c:f>
              <c:strCache>
                <c:ptCount val="1"/>
                <c:pt idx="0">
                  <c:v>Tasas Spot</c:v>
                </c:pt>
              </c:strCache>
            </c:strRef>
          </c:tx>
          <c:marker>
            <c:symbol val="none"/>
          </c:marker>
          <c:xVal>
            <c:numRef>
              <c:f>'[2]Curva OIS USD'!$C$3:$C$45</c:f>
              <c:numCache>
                <c:formatCode>0.0000</c:formatCode>
                <c:ptCount val="43"/>
                <c:pt idx="0">
                  <c:v>0</c:v>
                </c:pt>
                <c:pt idx="1">
                  <c:v>2.7777777777777779E-3</c:v>
                </c:pt>
                <c:pt idx="2">
                  <c:v>8.611111111111111E-2</c:v>
                </c:pt>
                <c:pt idx="3">
                  <c:v>0.25555555555555554</c:v>
                </c:pt>
                <c:pt idx="4">
                  <c:v>0.51111111111111107</c:v>
                </c:pt>
                <c:pt idx="5">
                  <c:v>0.76388888888888884</c:v>
                </c:pt>
                <c:pt idx="6">
                  <c:v>1.0138888888888888</c:v>
                </c:pt>
                <c:pt idx="7">
                  <c:v>1.2694444444444444</c:v>
                </c:pt>
                <c:pt idx="8">
                  <c:v>1.5249999999999999</c:v>
                </c:pt>
                <c:pt idx="9">
                  <c:v>1.7777777777777777</c:v>
                </c:pt>
                <c:pt idx="10">
                  <c:v>2.0277777777777777</c:v>
                </c:pt>
                <c:pt idx="11">
                  <c:v>2.2833333333333332</c:v>
                </c:pt>
                <c:pt idx="12">
                  <c:v>2.5388888888888888</c:v>
                </c:pt>
                <c:pt idx="13">
                  <c:v>2.7916666666666665</c:v>
                </c:pt>
                <c:pt idx="14">
                  <c:v>3.0416666666666665</c:v>
                </c:pt>
                <c:pt idx="15">
                  <c:v>3.2972222222222221</c:v>
                </c:pt>
                <c:pt idx="16">
                  <c:v>3.5527777777777776</c:v>
                </c:pt>
                <c:pt idx="17">
                  <c:v>3.8055555555555554</c:v>
                </c:pt>
                <c:pt idx="18">
                  <c:v>4.0583333333333336</c:v>
                </c:pt>
                <c:pt idx="19">
                  <c:v>4.3138888888888891</c:v>
                </c:pt>
                <c:pt idx="20">
                  <c:v>4.5694444444444446</c:v>
                </c:pt>
                <c:pt idx="21">
                  <c:v>4.822222222222222</c:v>
                </c:pt>
                <c:pt idx="22">
                  <c:v>5.072222222222222</c:v>
                </c:pt>
                <c:pt idx="23">
                  <c:v>5.3277777777777775</c:v>
                </c:pt>
                <c:pt idx="24">
                  <c:v>5.583333333333333</c:v>
                </c:pt>
                <c:pt idx="25">
                  <c:v>5.8361111111111112</c:v>
                </c:pt>
                <c:pt idx="26">
                  <c:v>6.0861111111111112</c:v>
                </c:pt>
                <c:pt idx="27">
                  <c:v>6.3416666666666668</c:v>
                </c:pt>
                <c:pt idx="28">
                  <c:v>6.5972222222222223</c:v>
                </c:pt>
                <c:pt idx="29">
                  <c:v>6.85</c:v>
                </c:pt>
                <c:pt idx="30">
                  <c:v>7.1</c:v>
                </c:pt>
                <c:pt idx="31">
                  <c:v>7.3555555555555552</c:v>
                </c:pt>
                <c:pt idx="32">
                  <c:v>7.6111111111111107</c:v>
                </c:pt>
                <c:pt idx="33">
                  <c:v>7.8638888888888889</c:v>
                </c:pt>
                <c:pt idx="34">
                  <c:v>8.1166666666666671</c:v>
                </c:pt>
                <c:pt idx="35">
                  <c:v>8.3722222222222218</c:v>
                </c:pt>
                <c:pt idx="36">
                  <c:v>8.6277777777777782</c:v>
                </c:pt>
                <c:pt idx="37">
                  <c:v>8.8805555555555564</c:v>
                </c:pt>
                <c:pt idx="38">
                  <c:v>9.1305555555555564</c:v>
                </c:pt>
                <c:pt idx="39">
                  <c:v>9.3861111111111111</c:v>
                </c:pt>
                <c:pt idx="40">
                  <c:v>9.6416666666666675</c:v>
                </c:pt>
                <c:pt idx="41">
                  <c:v>9.8944444444444439</c:v>
                </c:pt>
                <c:pt idx="42">
                  <c:v>10.144444444444444</c:v>
                </c:pt>
              </c:numCache>
            </c:numRef>
          </c:xVal>
          <c:yVal>
            <c:numRef>
              <c:f>'[2]Curva OIS USD'!$D$3:$D$45</c:f>
              <c:numCache>
                <c:formatCode>0.0000%</c:formatCode>
                <c:ptCount val="43"/>
                <c:pt idx="0">
                  <c:v>1.1777714397185383E-3</c:v>
                </c:pt>
                <c:pt idx="1">
                  <c:v>1.1777714397185383E-3</c:v>
                </c:pt>
                <c:pt idx="2">
                  <c:v>1.2623705816973158E-3</c:v>
                </c:pt>
                <c:pt idx="3">
                  <c:v>1.299999827874002E-3</c:v>
                </c:pt>
                <c:pt idx="4">
                  <c:v>1.87500003520907E-3</c:v>
                </c:pt>
                <c:pt idx="5">
                  <c:v>2.6900001283450157E-3</c:v>
                </c:pt>
                <c:pt idx="6">
                  <c:v>3.6100002649272298E-3</c:v>
                </c:pt>
                <c:pt idx="7">
                  <c:v>4.6083564708492234E-3</c:v>
                </c:pt>
                <c:pt idx="8">
                  <c:v>5.6067126767712179E-3</c:v>
                </c:pt>
                <c:pt idx="9">
                  <c:v>6.6316042599432468E-3</c:v>
                </c:pt>
                <c:pt idx="10">
                  <c:v>7.6452332982452527E-3</c:v>
                </c:pt>
                <c:pt idx="11">
                  <c:v>8.519368108707872E-3</c:v>
                </c:pt>
                <c:pt idx="12">
                  <c:v>9.3935029191704895E-3</c:v>
                </c:pt>
                <c:pt idx="13">
                  <c:v>1.0258136264301993E-2</c:v>
                </c:pt>
                <c:pt idx="14">
                  <c:v>1.111326814410238E-2</c:v>
                </c:pt>
                <c:pt idx="15">
                  <c:v>1.1758931696188872E-2</c:v>
                </c:pt>
                <c:pt idx="16">
                  <c:v>1.2404595248275366E-2</c:v>
                </c:pt>
                <c:pt idx="17">
                  <c:v>1.3043240718273962E-2</c:v>
                </c:pt>
                <c:pt idx="18">
                  <c:v>1.368188618827256E-2</c:v>
                </c:pt>
                <c:pt idx="19">
                  <c:v>1.414504609625686E-2</c:v>
                </c:pt>
                <c:pt idx="20">
                  <c:v>1.4608206004241162E-2</c:v>
                </c:pt>
                <c:pt idx="21">
                  <c:v>1.5066331565399545E-2</c:v>
                </c:pt>
                <c:pt idx="22">
                  <c:v>1.5519422779732013E-2</c:v>
                </c:pt>
                <c:pt idx="23">
                  <c:v>1.5881828088928445E-2</c:v>
                </c:pt>
                <c:pt idx="24">
                  <c:v>1.6244233398124874E-2</c:v>
                </c:pt>
                <c:pt idx="25">
                  <c:v>1.6602699519177866E-2</c:v>
                </c:pt>
                <c:pt idx="26">
                  <c:v>1.6957226452087418E-2</c:v>
                </c:pt>
                <c:pt idx="27">
                  <c:v>1.7256842921508003E-2</c:v>
                </c:pt>
                <c:pt idx="28">
                  <c:v>1.7556459390928592E-2</c:v>
                </c:pt>
                <c:pt idx="29">
                  <c:v>1.7852819159594604E-2</c:v>
                </c:pt>
                <c:pt idx="30">
                  <c:v>1.8145922227506047E-2</c:v>
                </c:pt>
                <c:pt idx="31">
                  <c:v>1.8372302499833744E-2</c:v>
                </c:pt>
                <c:pt idx="32">
                  <c:v>1.8598682772161441E-2</c:v>
                </c:pt>
                <c:pt idx="33">
                  <c:v>1.8822602389355139E-2</c:v>
                </c:pt>
                <c:pt idx="34">
                  <c:v>1.9046522006548841E-2</c:v>
                </c:pt>
                <c:pt idx="35">
                  <c:v>1.9251759463930953E-2</c:v>
                </c:pt>
                <c:pt idx="36">
                  <c:v>1.9456996921313065E-2</c:v>
                </c:pt>
                <c:pt idx="37">
                  <c:v>1.9660003536767109E-2</c:v>
                </c:pt>
                <c:pt idx="38">
                  <c:v>1.9860779310293088E-2</c:v>
                </c:pt>
                <c:pt idx="39">
                  <c:v>2.0004216950499264E-2</c:v>
                </c:pt>
                <c:pt idx="40">
                  <c:v>2.014765459070544E-2</c:v>
                </c:pt>
                <c:pt idx="41">
                  <c:v>2.0289533126126764E-2</c:v>
                </c:pt>
                <c:pt idx="42">
                  <c:v>2.0429852556763241E-2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4-4301-ABCF-5A50BBFAE8DB}"/>
            </c:ext>
          </c:extLst>
        </c:ser>
        <c:ser>
          <c:idx val="2"/>
          <c:order val="1"/>
          <c:tx>
            <c:strRef>
              <c:f>'[2]Curva OIS USD'!$AA$2</c:f>
              <c:strCache>
                <c:ptCount val="1"/>
                <c:pt idx="0">
                  <c:v>Roll FWD</c:v>
                </c:pt>
              </c:strCache>
            </c:strRef>
          </c:tx>
          <c:marker>
            <c:symbol val="none"/>
          </c:marker>
          <c:xVal>
            <c:numRef>
              <c:f>'[2]Curva OIS USD'!$C$4:$C$45</c:f>
              <c:numCache>
                <c:formatCode>0.0000</c:formatCode>
                <c:ptCount val="42"/>
                <c:pt idx="0">
                  <c:v>2.7777777777777779E-3</c:v>
                </c:pt>
                <c:pt idx="1">
                  <c:v>8.611111111111111E-2</c:v>
                </c:pt>
                <c:pt idx="2">
                  <c:v>0.25555555555555554</c:v>
                </c:pt>
                <c:pt idx="3">
                  <c:v>0.51111111111111107</c:v>
                </c:pt>
                <c:pt idx="4">
                  <c:v>0.76388888888888884</c:v>
                </c:pt>
                <c:pt idx="5">
                  <c:v>1.0138888888888888</c:v>
                </c:pt>
                <c:pt idx="6">
                  <c:v>1.2694444444444444</c:v>
                </c:pt>
                <c:pt idx="7">
                  <c:v>1.5249999999999999</c:v>
                </c:pt>
                <c:pt idx="8">
                  <c:v>1.7777777777777777</c:v>
                </c:pt>
                <c:pt idx="9">
                  <c:v>2.0277777777777777</c:v>
                </c:pt>
                <c:pt idx="10">
                  <c:v>2.2833333333333332</c:v>
                </c:pt>
                <c:pt idx="11">
                  <c:v>2.5388888888888888</c:v>
                </c:pt>
                <c:pt idx="12">
                  <c:v>2.7916666666666665</c:v>
                </c:pt>
                <c:pt idx="13">
                  <c:v>3.0416666666666665</c:v>
                </c:pt>
                <c:pt idx="14">
                  <c:v>3.2972222222222221</c:v>
                </c:pt>
                <c:pt idx="15">
                  <c:v>3.5527777777777776</c:v>
                </c:pt>
                <c:pt idx="16">
                  <c:v>3.8055555555555554</c:v>
                </c:pt>
                <c:pt idx="17">
                  <c:v>4.0583333333333336</c:v>
                </c:pt>
                <c:pt idx="18">
                  <c:v>4.3138888888888891</c:v>
                </c:pt>
                <c:pt idx="19">
                  <c:v>4.5694444444444446</c:v>
                </c:pt>
                <c:pt idx="20">
                  <c:v>4.822222222222222</c:v>
                </c:pt>
                <c:pt idx="21">
                  <c:v>5.072222222222222</c:v>
                </c:pt>
                <c:pt idx="22">
                  <c:v>5.3277777777777775</c:v>
                </c:pt>
                <c:pt idx="23">
                  <c:v>5.583333333333333</c:v>
                </c:pt>
                <c:pt idx="24">
                  <c:v>5.8361111111111112</c:v>
                </c:pt>
                <c:pt idx="25">
                  <c:v>6.0861111111111112</c:v>
                </c:pt>
                <c:pt idx="26">
                  <c:v>6.3416666666666668</c:v>
                </c:pt>
                <c:pt idx="27">
                  <c:v>6.5972222222222223</c:v>
                </c:pt>
                <c:pt idx="28">
                  <c:v>6.85</c:v>
                </c:pt>
                <c:pt idx="29">
                  <c:v>7.1</c:v>
                </c:pt>
                <c:pt idx="30">
                  <c:v>7.3555555555555552</c:v>
                </c:pt>
                <c:pt idx="31">
                  <c:v>7.6111111111111107</c:v>
                </c:pt>
                <c:pt idx="32">
                  <c:v>7.8638888888888889</c:v>
                </c:pt>
                <c:pt idx="33">
                  <c:v>8.1166666666666671</c:v>
                </c:pt>
                <c:pt idx="34">
                  <c:v>8.3722222222222218</c:v>
                </c:pt>
                <c:pt idx="35">
                  <c:v>8.6277777777777782</c:v>
                </c:pt>
                <c:pt idx="36">
                  <c:v>8.8805555555555564</c:v>
                </c:pt>
                <c:pt idx="37">
                  <c:v>9.1305555555555564</c:v>
                </c:pt>
                <c:pt idx="38">
                  <c:v>9.3861111111111111</c:v>
                </c:pt>
                <c:pt idx="39">
                  <c:v>9.6416666666666675</c:v>
                </c:pt>
                <c:pt idx="40">
                  <c:v>9.8944444444444439</c:v>
                </c:pt>
                <c:pt idx="41">
                  <c:v>10.144444444444444</c:v>
                </c:pt>
              </c:numCache>
            </c:numRef>
          </c:xVal>
          <c:yVal>
            <c:numRef>
              <c:f>'[2]Curva OIS USD'!$AB$7:$AB$49</c:f>
              <c:numCache>
                <c:formatCode>0.0000%</c:formatCode>
                <c:ptCount val="43"/>
                <c:pt idx="0">
                  <c:v>2.4491865684469921E-3</c:v>
                </c:pt>
                <c:pt idx="1">
                  <c:v>3.387672633627718E-3</c:v>
                </c:pt>
                <c:pt idx="2">
                  <c:v>4.3870044904864994E-3</c:v>
                </c:pt>
                <c:pt idx="3">
                  <c:v>5.4404361911331266E-3</c:v>
                </c:pt>
                <c:pt idx="4">
                  <c:v>6.460152632387306E-3</c:v>
                </c:pt>
                <c:pt idx="5">
                  <c:v>7.5081974922062145E-3</c:v>
                </c:pt>
                <c:pt idx="6">
                  <c:v>8.5360766451589853E-3</c:v>
                </c:pt>
                <c:pt idx="7">
                  <c:v>9.3996276515397881E-3</c:v>
                </c:pt>
                <c:pt idx="8">
                  <c:v>1.0263763126066472E-2</c:v>
                </c:pt>
                <c:pt idx="9">
                  <c:v>1.1118741184897196E-2</c:v>
                </c:pt>
                <c:pt idx="10">
                  <c:v>1.1964344627244827E-2</c:v>
                </c:pt>
                <c:pt idx="11">
                  <c:v>1.2583078906131639E-2</c:v>
                </c:pt>
                <c:pt idx="12">
                  <c:v>1.3204815485893917E-2</c:v>
                </c:pt>
                <c:pt idx="13">
                  <c:v>1.3822047532158876E-2</c:v>
                </c:pt>
                <c:pt idx="14">
                  <c:v>1.4441012590940439E-2</c:v>
                </c:pt>
                <c:pt idx="15">
                  <c:v>1.4876165157948762E-2</c:v>
                </c:pt>
                <c:pt idx="16">
                  <c:v>1.5313907198638788E-2</c:v>
                </c:pt>
                <c:pt idx="17">
                  <c:v>1.5748986740076631E-2</c:v>
                </c:pt>
                <c:pt idx="18">
                  <c:v>1.6180988687338527E-2</c:v>
                </c:pt>
                <c:pt idx="19">
                  <c:v>1.651945395804244E-2</c:v>
                </c:pt>
                <c:pt idx="20">
                  <c:v>1.6859713202959092E-2</c:v>
                </c:pt>
                <c:pt idx="21">
                  <c:v>1.7197784376930869E-2</c:v>
                </c:pt>
                <c:pt idx="22">
                  <c:v>1.7533413859400326E-2</c:v>
                </c:pt>
                <c:pt idx="23">
                  <c:v>1.7813035414253164E-2</c:v>
                </c:pt>
                <c:pt idx="24">
                  <c:v>1.8093896166726076E-2</c:v>
                </c:pt>
                <c:pt idx="25">
                  <c:v>1.8372774518193857E-2</c:v>
                </c:pt>
                <c:pt idx="26">
                  <c:v>1.8649512423056791E-2</c:v>
                </c:pt>
                <c:pt idx="27">
                  <c:v>1.8858388940471649E-2</c:v>
                </c:pt>
                <c:pt idx="28">
                  <c:v>1.9068231647285216E-2</c:v>
                </c:pt>
                <c:pt idx="29">
                  <c:v>1.9276644850120483E-2</c:v>
                </c:pt>
                <c:pt idx="30">
                  <c:v>1.9485819299299045E-2</c:v>
                </c:pt>
                <c:pt idx="31">
                  <c:v>1.9676488519282387E-2</c:v>
                </c:pt>
                <c:pt idx="32">
                  <c:v>1.9867838974629848E-2</c:v>
                </c:pt>
                <c:pt idx="33">
                  <c:v>2.0057717693446442E-2</c:v>
                </c:pt>
                <c:pt idx="34">
                  <c:v>2.0246051400667042E-2</c:v>
                </c:pt>
                <c:pt idx="35">
                  <c:v>2.0376478758020511E-2</c:v>
                </c:pt>
                <c:pt idx="36">
                  <c:v>2.050748466091612E-2</c:v>
                </c:pt>
                <c:pt idx="37">
                  <c:v>2.0637589467745521E-2</c:v>
                </c:pt>
                <c:pt idx="38">
                  <c:v>2.0766735713685591E-2</c:v>
                </c:pt>
                <c:pt idx="39">
                  <c:v>2.0895981785847617E-2</c:v>
                </c:pt>
                <c:pt idx="40">
                  <c:v>2.1025650170324539E-2</c:v>
                </c:pt>
                <c:pt idx="41">
                  <c:v>2.1154293774242383E-2</c:v>
                </c:pt>
                <c:pt idx="42">
                  <c:v>2.1281872864015838E-2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4-4301-ABCF-5A50BBFAE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597376"/>
        <c:axId val="530598912"/>
      </c:scatterChart>
      <c:valAx>
        <c:axId val="530597376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530598912"/>
        <c:crosses val="autoZero"/>
        <c:crossBetween val="midCat"/>
      </c:valAx>
      <c:valAx>
        <c:axId val="53059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0%" sourceLinked="1"/>
        <c:majorTickMark val="out"/>
        <c:minorTickMark val="none"/>
        <c:tickLblPos val="nextTo"/>
        <c:crossAx val="5305973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1042193</xdr:colOff>
      <xdr:row>1</xdr:row>
      <xdr:rowOff>61385</xdr:rowOff>
    </xdr:from>
    <xdr:to>
      <xdr:col>23</xdr:col>
      <xdr:colOff>321468</xdr:colOff>
      <xdr:row>23</xdr:row>
      <xdr:rowOff>59532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650525-4B92-44B4-961C-20079C642F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1059656</xdr:colOff>
      <xdr:row>23</xdr:row>
      <xdr:rowOff>119063</xdr:rowOff>
    </xdr:from>
    <xdr:to>
      <xdr:col>23</xdr:col>
      <xdr:colOff>338931</xdr:colOff>
      <xdr:row>45</xdr:row>
      <xdr:rowOff>152928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6F4AF79-122A-4479-8906-28CBBDA9D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297655</xdr:colOff>
      <xdr:row>2</xdr:row>
      <xdr:rowOff>158352</xdr:rowOff>
    </xdr:from>
    <xdr:to>
      <xdr:col>44</xdr:col>
      <xdr:colOff>214314</xdr:colOff>
      <xdr:row>36</xdr:row>
      <xdr:rowOff>202405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C8FC59-C66B-413F-A3CD-21F59DEC3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333375</xdr:colOff>
      <xdr:row>38</xdr:row>
      <xdr:rowOff>178594</xdr:rowOff>
    </xdr:from>
    <xdr:to>
      <xdr:col>44</xdr:col>
      <xdr:colOff>250034</xdr:colOff>
      <xdr:row>73</xdr:row>
      <xdr:rowOff>115490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2D54F963-886B-4D64-8F16-783EB3578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tesorer/Gmdinbog/mdinero/SWAPS/ANDRES/Calibr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obabilidad%20de%20defaul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tesorer/Gmdinbog/mdinero/SWAPS/ANDRES/C&#225;lculos%20CDS%20y%20ASS%20141212%20CO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blp/API/dde/Blp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easury Bond Pricing"/>
      <sheetName val="Bootstraping Rates"/>
      <sheetName val="CDS"/>
      <sheetName val="Bootstraping Default Int"/>
    </sheetNames>
    <sheetDataSet>
      <sheetData sheetId="0" refreshError="1">
        <row r="1">
          <cell r="B1">
            <v>40577</v>
          </cell>
        </row>
        <row r="24">
          <cell r="H24">
            <v>2.8750000000000001E-2</v>
          </cell>
        </row>
        <row r="25">
          <cell r="H25">
            <v>0.01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DS USD"/>
      <sheetName val="Curva OIS USD"/>
    </sheetNames>
    <definedNames>
      <definedName name="rate7" refersTo="#REF!"/>
      <definedName name="rate8" refersTo="#REF!"/>
    </definedNames>
    <sheetDataSet>
      <sheetData sheetId="0">
        <row r="4">
          <cell r="B4">
            <v>43907</v>
          </cell>
        </row>
        <row r="5">
          <cell r="B5">
            <v>43908</v>
          </cell>
          <cell r="C5">
            <v>2.7777777777777779E-3</v>
          </cell>
          <cell r="D5" t="e">
            <v>#NAME?</v>
          </cell>
          <cell r="Q5" t="e">
            <v>#NAME?</v>
          </cell>
          <cell r="R5">
            <v>100</v>
          </cell>
        </row>
        <row r="6">
          <cell r="B6">
            <v>43938</v>
          </cell>
          <cell r="C6">
            <v>8.611111111111111E-2</v>
          </cell>
          <cell r="D6" t="e">
            <v>#NAME?</v>
          </cell>
          <cell r="Q6" t="e">
            <v>#NAME?</v>
          </cell>
          <cell r="R6">
            <v>100</v>
          </cell>
        </row>
        <row r="7">
          <cell r="B7">
            <v>43999</v>
          </cell>
          <cell r="C7">
            <v>0.25555555555555554</v>
          </cell>
          <cell r="D7" t="e">
            <v>#NAME?</v>
          </cell>
          <cell r="Q7" t="e">
            <v>#NAME?</v>
          </cell>
          <cell r="R7">
            <v>100</v>
          </cell>
        </row>
        <row r="8">
          <cell r="B8">
            <v>44091</v>
          </cell>
          <cell r="C8">
            <v>0.51111111111111107</v>
          </cell>
          <cell r="D8" t="e">
            <v>#NAME?</v>
          </cell>
          <cell r="Q8" t="e">
            <v>#NAME?</v>
          </cell>
          <cell r="R8">
            <v>100</v>
          </cell>
        </row>
        <row r="9">
          <cell r="B9">
            <v>44182</v>
          </cell>
          <cell r="C9">
            <v>0.76388888888888884</v>
          </cell>
          <cell r="D9" t="e">
            <v>#NAME?</v>
          </cell>
          <cell r="Q9" t="e">
            <v>#NAME?</v>
          </cell>
          <cell r="R9">
            <v>100</v>
          </cell>
        </row>
        <row r="10">
          <cell r="B10">
            <v>44272</v>
          </cell>
          <cell r="C10">
            <v>1.0138888888888888</v>
          </cell>
          <cell r="D10" t="e">
            <v>#NAME?</v>
          </cell>
          <cell r="Q10" t="e">
            <v>#NAME?</v>
          </cell>
          <cell r="R10">
            <v>100</v>
          </cell>
        </row>
        <row r="11">
          <cell r="B11">
            <v>44456</v>
          </cell>
          <cell r="C11">
            <v>1.5249999999999999</v>
          </cell>
          <cell r="D11" t="e">
            <v>#NAME?</v>
          </cell>
          <cell r="Q11" t="e">
            <v>#NAME?</v>
          </cell>
          <cell r="R11">
            <v>100</v>
          </cell>
        </row>
        <row r="12">
          <cell r="B12">
            <v>44637</v>
          </cell>
          <cell r="C12">
            <v>2.0277777777777777</v>
          </cell>
          <cell r="D12" t="e">
            <v>#NAME?</v>
          </cell>
          <cell r="Q12" t="e">
            <v>#NAME?</v>
          </cell>
          <cell r="R12">
            <v>100</v>
          </cell>
        </row>
        <row r="13">
          <cell r="B13">
            <v>45002</v>
          </cell>
          <cell r="C13">
            <v>3.0416666666666665</v>
          </cell>
          <cell r="D13" t="e">
            <v>#NAME?</v>
          </cell>
          <cell r="Q13" t="e">
            <v>#NAME?</v>
          </cell>
          <cell r="R13">
            <v>100</v>
          </cell>
        </row>
        <row r="14">
          <cell r="B14">
            <v>45368</v>
          </cell>
          <cell r="C14">
            <v>4.0583333333333336</v>
          </cell>
          <cell r="D14" t="e">
            <v>#NAME?</v>
          </cell>
          <cell r="Q14" t="e">
            <v>#NAME?</v>
          </cell>
          <cell r="R14">
            <v>100</v>
          </cell>
        </row>
        <row r="15">
          <cell r="B15">
            <v>45733</v>
          </cell>
          <cell r="C15">
            <v>5.072222222222222</v>
          </cell>
          <cell r="D15" t="e">
            <v>#NAME?</v>
          </cell>
          <cell r="Q15" t="e">
            <v>#NAME?</v>
          </cell>
        </row>
        <row r="16">
          <cell r="B16">
            <v>46098</v>
          </cell>
          <cell r="C16">
            <v>6.0861111111111112</v>
          </cell>
          <cell r="D16" t="e">
            <v>#NAME?</v>
          </cell>
          <cell r="Q16" t="e">
            <v>#NAME?</v>
          </cell>
        </row>
        <row r="17">
          <cell r="B17">
            <v>46463</v>
          </cell>
          <cell r="C17">
            <v>7.1</v>
          </cell>
          <cell r="D17" t="e">
            <v>#NAME?</v>
          </cell>
          <cell r="Q17" t="e">
            <v>#NAME?</v>
          </cell>
        </row>
        <row r="18">
          <cell r="B18">
            <v>46829</v>
          </cell>
          <cell r="C18">
            <v>8.1166666666666671</v>
          </cell>
          <cell r="D18" t="e">
            <v>#NAME?</v>
          </cell>
          <cell r="Q18" t="e">
            <v>#NAME?</v>
          </cell>
        </row>
        <row r="19">
          <cell r="B19">
            <v>47194</v>
          </cell>
          <cell r="C19">
            <v>9.1305555555555564</v>
          </cell>
          <cell r="D19" t="e">
            <v>#NAME?</v>
          </cell>
          <cell r="Q19" t="e">
            <v>#NAME?</v>
          </cell>
        </row>
        <row r="20">
          <cell r="B20">
            <v>47559</v>
          </cell>
          <cell r="C20">
            <v>10.144444444444444</v>
          </cell>
          <cell r="D20" t="e">
            <v>#NAME?</v>
          </cell>
          <cell r="Q20" t="e">
            <v>#NAME?</v>
          </cell>
        </row>
        <row r="21">
          <cell r="B21">
            <v>48290</v>
          </cell>
          <cell r="Q21" t="e">
            <v>#NAME?</v>
          </cell>
        </row>
        <row r="22">
          <cell r="B22">
            <v>49385</v>
          </cell>
          <cell r="Q22" t="e">
            <v>#NAME?</v>
          </cell>
        </row>
        <row r="44">
          <cell r="C44" t="e">
            <v>#NAME?</v>
          </cell>
          <cell r="D44" t="e">
            <v>#NAME?</v>
          </cell>
          <cell r="E44" t="e">
            <v>#NAME?</v>
          </cell>
          <cell r="H44" t="e">
            <v>#NAME?</v>
          </cell>
          <cell r="J44" t="e">
            <v>#NAME?</v>
          </cell>
        </row>
        <row r="45">
          <cell r="C45" t="e">
            <v>#NAME?</v>
          </cell>
          <cell r="D45" t="e">
            <v>#NAME?</v>
          </cell>
          <cell r="E45" t="e">
            <v>#NAME?</v>
          </cell>
          <cell r="H45" t="e">
            <v>#NAME?</v>
          </cell>
          <cell r="J45" t="e">
            <v>#NAME?</v>
          </cell>
        </row>
        <row r="46">
          <cell r="C46" t="e">
            <v>#NAME?</v>
          </cell>
          <cell r="D46" t="e">
            <v>#NAME?</v>
          </cell>
          <cell r="E46" t="e">
            <v>#NAME?</v>
          </cell>
          <cell r="H46" t="e">
            <v>#NAME?</v>
          </cell>
          <cell r="J46" t="e">
            <v>#NAME?</v>
          </cell>
        </row>
        <row r="47">
          <cell r="C47" t="e">
            <v>#NAME?</v>
          </cell>
          <cell r="D47" t="e">
            <v>#NAME?</v>
          </cell>
          <cell r="E47" t="e">
            <v>#NAME?</v>
          </cell>
          <cell r="H47" t="e">
            <v>#NAME?</v>
          </cell>
          <cell r="J47" t="e">
            <v>#NAME?</v>
          </cell>
        </row>
        <row r="48">
          <cell r="C48" t="e">
            <v>#NAME?</v>
          </cell>
          <cell r="D48" t="e">
            <v>#NAME?</v>
          </cell>
          <cell r="E48" t="e">
            <v>#NAME?</v>
          </cell>
          <cell r="H48" t="e">
            <v>#NAME?</v>
          </cell>
          <cell r="J48" t="e">
            <v>#NAME?</v>
          </cell>
        </row>
        <row r="49">
          <cell r="C49" t="e">
            <v>#NAME?</v>
          </cell>
          <cell r="D49" t="e">
            <v>#NAME?</v>
          </cell>
          <cell r="E49" t="e">
            <v>#NAME?</v>
          </cell>
          <cell r="H49" t="e">
            <v>#NAME?</v>
          </cell>
          <cell r="J49" t="e">
            <v>#NAME?</v>
          </cell>
        </row>
        <row r="50">
          <cell r="C50" t="e">
            <v>#NAME?</v>
          </cell>
          <cell r="D50" t="e">
            <v>#NAME?</v>
          </cell>
          <cell r="E50" t="e">
            <v>#NAME?</v>
          </cell>
          <cell r="H50" t="e">
            <v>#NAME?</v>
          </cell>
          <cell r="J50" t="e">
            <v>#NAME?</v>
          </cell>
        </row>
        <row r="51">
          <cell r="C51" t="e">
            <v>#NAME?</v>
          </cell>
          <cell r="D51" t="e">
            <v>#NAME?</v>
          </cell>
          <cell r="E51" t="e">
            <v>#NAME?</v>
          </cell>
          <cell r="H51" t="e">
            <v>#NAME?</v>
          </cell>
          <cell r="J51" t="e">
            <v>#NAME?</v>
          </cell>
        </row>
        <row r="52">
          <cell r="C52" t="e">
            <v>#NAME?</v>
          </cell>
          <cell r="D52" t="e">
            <v>#NAME?</v>
          </cell>
          <cell r="E52" t="e">
            <v>#NAME?</v>
          </cell>
          <cell r="H52" t="e">
            <v>#NAME?</v>
          </cell>
          <cell r="J52" t="e">
            <v>#NAME?</v>
          </cell>
        </row>
        <row r="53">
          <cell r="C53" t="e">
            <v>#NAME?</v>
          </cell>
          <cell r="D53" t="e">
            <v>#NAME?</v>
          </cell>
          <cell r="E53" t="e">
            <v>#NAME?</v>
          </cell>
          <cell r="H53" t="e">
            <v>#NAME?</v>
          </cell>
          <cell r="J53" t="e">
            <v>#NAME?</v>
          </cell>
        </row>
        <row r="54">
          <cell r="C54" t="e">
            <v>#NAME?</v>
          </cell>
          <cell r="D54" t="e">
            <v>#NAME?</v>
          </cell>
          <cell r="E54" t="e">
            <v>#NAME?</v>
          </cell>
          <cell r="H54" t="e">
            <v>#NAME?</v>
          </cell>
          <cell r="J54" t="e">
            <v>#NAME?</v>
          </cell>
        </row>
      </sheetData>
      <sheetData sheetId="1">
        <row r="4">
          <cell r="B4">
            <v>43999</v>
          </cell>
          <cell r="D4">
            <v>4.8368937604160715E-2</v>
          </cell>
          <cell r="G4">
            <v>0.98788239410213596</v>
          </cell>
        </row>
        <row r="5">
          <cell r="B5">
            <v>44091</v>
          </cell>
          <cell r="D5">
            <v>4.8368937604160715E-2</v>
          </cell>
          <cell r="G5">
            <v>0.97591162457696778</v>
          </cell>
        </row>
        <row r="6">
          <cell r="B6">
            <v>44182</v>
          </cell>
          <cell r="D6">
            <v>4.8368937604160715E-2</v>
          </cell>
          <cell r="G6">
            <v>0.96421367897189458</v>
          </cell>
        </row>
        <row r="7">
          <cell r="B7">
            <v>44272</v>
          </cell>
          <cell r="D7">
            <v>4.8368937604160715E-2</v>
          </cell>
          <cell r="G7">
            <v>0.95278220504156075</v>
          </cell>
        </row>
        <row r="8">
          <cell r="B8">
            <v>44364</v>
          </cell>
          <cell r="D8">
            <v>5.2388735555378353E-2</v>
          </cell>
          <cell r="G8">
            <v>0.93651141559908335</v>
          </cell>
        </row>
        <row r="9">
          <cell r="B9">
            <v>44456</v>
          </cell>
          <cell r="D9">
            <v>5.2388735555378353E-2</v>
          </cell>
          <cell r="G9">
            <v>0.92422623012881999</v>
          </cell>
        </row>
        <row r="10">
          <cell r="B10">
            <v>44547</v>
          </cell>
          <cell r="D10">
            <v>5.2388735555378353E-2</v>
          </cell>
          <cell r="G10">
            <v>0.91223312623655273</v>
          </cell>
        </row>
        <row r="11">
          <cell r="B11">
            <v>44637</v>
          </cell>
          <cell r="D11">
            <v>5.2388735555378353E-2</v>
          </cell>
          <cell r="G11">
            <v>0.90052489309552186</v>
          </cell>
        </row>
        <row r="12">
          <cell r="B12">
            <v>44729</v>
          </cell>
          <cell r="D12">
            <v>5.3738837786476042E-2</v>
          </cell>
          <cell r="G12">
            <v>0.88601375179074293</v>
          </cell>
        </row>
        <row r="13">
          <cell r="B13">
            <v>44821</v>
          </cell>
          <cell r="D13">
            <v>5.3738837786476042E-2</v>
          </cell>
          <cell r="G13">
            <v>0.87409349181710128</v>
          </cell>
        </row>
        <row r="14">
          <cell r="B14">
            <v>44912</v>
          </cell>
          <cell r="D14">
            <v>5.3738837786476042E-2</v>
          </cell>
          <cell r="G14">
            <v>0.86246057520507069</v>
          </cell>
        </row>
        <row r="15">
          <cell r="B15">
            <v>45002</v>
          </cell>
          <cell r="D15">
            <v>5.3738837786476042E-2</v>
          </cell>
          <cell r="G15">
            <v>0.85110777495299084</v>
          </cell>
        </row>
        <row r="16">
          <cell r="B16">
            <v>45094</v>
          </cell>
          <cell r="D16">
            <v>6.2859234407886655E-2</v>
          </cell>
          <cell r="G16">
            <v>0.81511858387699121</v>
          </cell>
        </row>
        <row r="17">
          <cell r="B17">
            <v>45186</v>
          </cell>
          <cell r="D17">
            <v>6.2859234407886655E-2</v>
          </cell>
          <cell r="G17">
            <v>0.80230564032848184</v>
          </cell>
        </row>
        <row r="18">
          <cell r="B18">
            <v>45277</v>
          </cell>
          <cell r="D18">
            <v>6.2859234407886655E-2</v>
          </cell>
          <cell r="G18">
            <v>0.7898301154501417</v>
          </cell>
        </row>
        <row r="19">
          <cell r="B19">
            <v>45368</v>
          </cell>
          <cell r="D19">
            <v>6.2859234407886655E-2</v>
          </cell>
          <cell r="G19">
            <v>0.77754857988605619</v>
          </cell>
        </row>
        <row r="20">
          <cell r="B20">
            <v>45460</v>
          </cell>
          <cell r="D20">
            <v>6.2859234407886655E-2</v>
          </cell>
          <cell r="G20">
            <v>0.76532620358723902</v>
          </cell>
        </row>
        <row r="21">
          <cell r="B21">
            <v>45552</v>
          </cell>
          <cell r="D21">
            <v>6.2859234407886655E-2</v>
          </cell>
          <cell r="G21">
            <v>0.75329595223888057</v>
          </cell>
        </row>
        <row r="22">
          <cell r="B22">
            <v>45643</v>
          </cell>
          <cell r="D22">
            <v>6.2859234407886655E-2</v>
          </cell>
          <cell r="G22">
            <v>0.74158250798456682</v>
          </cell>
        </row>
        <row r="23">
          <cell r="B23">
            <v>45733</v>
          </cell>
          <cell r="D23">
            <v>6.2859234407886655E-2</v>
          </cell>
          <cell r="G23">
            <v>0.73017694111585874</v>
          </cell>
        </row>
        <row r="24">
          <cell r="B24">
            <v>45825</v>
          </cell>
          <cell r="D24">
            <v>6.5479414595657287E-2</v>
          </cell>
          <cell r="G24">
            <v>0.70887159997569771</v>
          </cell>
        </row>
        <row r="25">
          <cell r="B25">
            <v>45917</v>
          </cell>
          <cell r="D25">
            <v>6.5479414595657287E-2</v>
          </cell>
          <cell r="G25">
            <v>0.69726811692210799</v>
          </cell>
        </row>
        <row r="26">
          <cell r="B26">
            <v>46008</v>
          </cell>
          <cell r="D26">
            <v>6.5479414595657287E-2</v>
          </cell>
          <cell r="G26">
            <v>0.68597762105855931</v>
          </cell>
        </row>
        <row r="27">
          <cell r="B27">
            <v>46098</v>
          </cell>
          <cell r="D27">
            <v>6.5479414595657287E-2</v>
          </cell>
          <cell r="G27">
            <v>0.6749910258531413</v>
          </cell>
        </row>
        <row r="28">
          <cell r="B28">
            <v>46190</v>
          </cell>
          <cell r="D28">
            <v>6.5479414595657287E-2</v>
          </cell>
          <cell r="G28">
            <v>0.66394213218878728</v>
          </cell>
        </row>
        <row r="29">
          <cell r="B29">
            <v>46282</v>
          </cell>
          <cell r="D29">
            <v>6.5479414595657287E-2</v>
          </cell>
          <cell r="G29">
            <v>0.65307409730111377</v>
          </cell>
        </row>
        <row r="30">
          <cell r="B30">
            <v>46373</v>
          </cell>
          <cell r="D30">
            <v>6.5479414595657287E-2</v>
          </cell>
          <cell r="G30">
            <v>0.64249921195182025</v>
          </cell>
        </row>
        <row r="31">
          <cell r="B31">
            <v>46463</v>
          </cell>
          <cell r="D31">
            <v>6.5479414595657287E-2</v>
          </cell>
          <cell r="G31">
            <v>0.63220896552858885</v>
          </cell>
        </row>
        <row r="32">
          <cell r="B32">
            <v>46555</v>
          </cell>
          <cell r="D32">
            <v>6.5479414595657287E-2</v>
          </cell>
          <cell r="G32">
            <v>0.62186036922695964</v>
          </cell>
        </row>
        <row r="33">
          <cell r="B33">
            <v>46647</v>
          </cell>
          <cell r="D33">
            <v>6.5479414595657287E-2</v>
          </cell>
          <cell r="G33">
            <v>0.61168116857020971</v>
          </cell>
        </row>
        <row r="34">
          <cell r="B34">
            <v>46738</v>
          </cell>
          <cell r="D34">
            <v>6.5479414595657287E-2</v>
          </cell>
          <cell r="G34">
            <v>0.60177653714372481</v>
          </cell>
        </row>
        <row r="35">
          <cell r="B35">
            <v>46829</v>
          </cell>
          <cell r="D35">
            <v>6.5479414595657287E-2</v>
          </cell>
          <cell r="G35">
            <v>0.59203228620422454</v>
          </cell>
        </row>
        <row r="36">
          <cell r="B36">
            <v>46921</v>
          </cell>
          <cell r="D36">
            <v>6.5479414595657287E-2</v>
          </cell>
          <cell r="G36">
            <v>0.58234133991665393</v>
          </cell>
        </row>
        <row r="37">
          <cell r="B37">
            <v>47013</v>
          </cell>
          <cell r="D37">
            <v>6.5479414595657287E-2</v>
          </cell>
          <cell r="G37">
            <v>0.57280902423443558</v>
          </cell>
        </row>
        <row r="38">
          <cell r="B38">
            <v>47104</v>
          </cell>
          <cell r="D38">
            <v>6.5479414595657287E-2</v>
          </cell>
          <cell r="G38">
            <v>0.56353382899494808</v>
          </cell>
        </row>
        <row r="39">
          <cell r="B39">
            <v>47194</v>
          </cell>
          <cell r="D39">
            <v>6.5479414595657287E-2</v>
          </cell>
          <cell r="G39">
            <v>0.55450828956966391</v>
          </cell>
        </row>
        <row r="40">
          <cell r="B40">
            <v>47286</v>
          </cell>
          <cell r="D40">
            <v>6.5479414595657287E-2</v>
          </cell>
          <cell r="G40">
            <v>0.54543157166854161</v>
          </cell>
        </row>
        <row r="41">
          <cell r="B41">
            <v>47378</v>
          </cell>
          <cell r="D41">
            <v>6.5479414595657287E-2</v>
          </cell>
          <cell r="G41">
            <v>0.53650343009965151</v>
          </cell>
        </row>
        <row r="42">
          <cell r="B42">
            <v>47469</v>
          </cell>
          <cell r="D42">
            <v>6.5479414595657287E-2</v>
          </cell>
          <cell r="G42">
            <v>0.52781611224972813</v>
          </cell>
        </row>
        <row r="43">
          <cell r="B43">
            <v>47559</v>
          </cell>
          <cell r="D43">
            <v>6.5479414595657287E-2</v>
          </cell>
          <cell r="G43">
            <v>0.51936262661088661</v>
          </cell>
        </row>
      </sheetData>
      <sheetData sheetId="2">
        <row r="2">
          <cell r="D2" t="str">
            <v>Tasas Spot</v>
          </cell>
          <cell r="AA2" t="str">
            <v>Roll FWD</v>
          </cell>
        </row>
        <row r="3">
          <cell r="C3">
            <v>0</v>
          </cell>
          <cell r="D3">
            <v>1.1777714397185383E-3</v>
          </cell>
        </row>
        <row r="4">
          <cell r="C4">
            <v>2.7777777777777779E-3</v>
          </cell>
          <cell r="D4">
            <v>1.1777714397185383E-3</v>
          </cell>
          <cell r="AA4">
            <v>1.1777714397354089E-3</v>
          </cell>
        </row>
        <row r="5">
          <cell r="C5">
            <v>8.611111111111111E-2</v>
          </cell>
          <cell r="D5">
            <v>1.2623705816973158E-3</v>
          </cell>
          <cell r="AA5">
            <v>1.2651864139279212E-3</v>
          </cell>
        </row>
        <row r="6">
          <cell r="C6">
            <v>0.25555555555555554</v>
          </cell>
          <cell r="D6">
            <v>1.299999827874002E-3</v>
          </cell>
          <cell r="AA6">
            <v>1.318979508881243E-3</v>
          </cell>
        </row>
        <row r="7">
          <cell r="C7">
            <v>0.51111111111111107</v>
          </cell>
          <cell r="D7">
            <v>1.87500003520907E-3</v>
          </cell>
          <cell r="AA7">
            <v>2.4491865684469921E-3</v>
          </cell>
          <cell r="AB7">
            <v>2.4491865684469921E-3</v>
          </cell>
        </row>
        <row r="8">
          <cell r="C8">
            <v>0.76388888888888884</v>
          </cell>
          <cell r="D8">
            <v>2.6900001283450157E-3</v>
          </cell>
          <cell r="AA8">
            <v>4.3337592185806809E-3</v>
          </cell>
          <cell r="AB8">
            <v>3.387672633627718E-3</v>
          </cell>
        </row>
        <row r="9">
          <cell r="C9">
            <v>1.0138888888888888</v>
          </cell>
          <cell r="D9">
            <v>3.6100002649272298E-3</v>
          </cell>
          <cell r="AA9">
            <v>6.4079443570834727E-3</v>
          </cell>
          <cell r="AB9">
            <v>4.3870044904864994E-3</v>
          </cell>
        </row>
        <row r="10">
          <cell r="C10">
            <v>1.2694444444444444</v>
          </cell>
          <cell r="D10">
            <v>4.6083564708492234E-3</v>
          </cell>
          <cell r="AA10">
            <v>8.5379760205074665E-3</v>
          </cell>
          <cell r="AB10">
            <v>5.4404361911331266E-3</v>
          </cell>
        </row>
        <row r="11">
          <cell r="C11">
            <v>1.5249999999999999</v>
          </cell>
          <cell r="D11">
            <v>5.6067126767712179E-3</v>
          </cell>
          <cell r="AA11">
            <v>1.0553398458419502E-2</v>
          </cell>
          <cell r="AB11">
            <v>6.460152632387306E-3</v>
          </cell>
        </row>
        <row r="12">
          <cell r="C12">
            <v>1.7777777777777777</v>
          </cell>
          <cell r="D12">
            <v>6.6316042599432468E-3</v>
          </cell>
          <cell r="AA12">
            <v>1.277560275544154E-2</v>
          </cell>
          <cell r="AB12">
            <v>7.5081974922062145E-3</v>
          </cell>
        </row>
        <row r="13">
          <cell r="C13">
            <v>2.0277777777777777</v>
          </cell>
          <cell r="D13">
            <v>7.6452332982452527E-3</v>
          </cell>
          <cell r="AA13">
            <v>1.4800410860689617E-2</v>
          </cell>
          <cell r="AB13">
            <v>8.5360766451589853E-3</v>
          </cell>
        </row>
        <row r="14">
          <cell r="C14">
            <v>2.2833333333333332</v>
          </cell>
          <cell r="D14">
            <v>8.519368108707872E-3</v>
          </cell>
          <cell r="AA14">
            <v>1.5393286661800509E-2</v>
          </cell>
          <cell r="AB14">
            <v>9.3996276515397881E-3</v>
          </cell>
        </row>
        <row r="15">
          <cell r="C15">
            <v>2.5388888888888888</v>
          </cell>
          <cell r="D15">
            <v>9.3935029191704895E-3</v>
          </cell>
          <cell r="AA15">
            <v>1.712709551813596E-2</v>
          </cell>
          <cell r="AB15">
            <v>1.0263763126066472E-2</v>
          </cell>
        </row>
        <row r="16">
          <cell r="C16">
            <v>2.7916666666666665</v>
          </cell>
          <cell r="D16">
            <v>1.0258136264301993E-2</v>
          </cell>
          <cell r="AA16">
            <v>1.8849994269587E-2</v>
          </cell>
          <cell r="AB16">
            <v>1.1118741184897196E-2</v>
          </cell>
        </row>
        <row r="17">
          <cell r="C17">
            <v>3.0416666666666665</v>
          </cell>
          <cell r="D17">
            <v>1.111326814410238E-2</v>
          </cell>
          <cell r="AA17">
            <v>2.0552605095221388E-2</v>
          </cell>
          <cell r="AB17">
            <v>1.1964344627244827E-2</v>
          </cell>
        </row>
        <row r="18">
          <cell r="C18">
            <v>3.2972222222222221</v>
          </cell>
          <cell r="D18">
            <v>1.1758931696188872E-2</v>
          </cell>
          <cell r="AA18">
            <v>1.9334821771491484E-2</v>
          </cell>
          <cell r="AB18">
            <v>1.2583078906131639E-2</v>
          </cell>
        </row>
        <row r="19">
          <cell r="C19">
            <v>3.5527777777777776</v>
          </cell>
          <cell r="D19">
            <v>1.2404595248275366E-2</v>
          </cell>
          <cell r="AA19">
            <v>2.0612233423063842E-2</v>
          </cell>
          <cell r="AB19">
            <v>1.3204815485893917E-2</v>
          </cell>
        </row>
        <row r="20">
          <cell r="C20">
            <v>3.8055555555555554</v>
          </cell>
          <cell r="D20">
            <v>1.3043240718273962E-2</v>
          </cell>
          <cell r="AA20">
            <v>2.1881895680052388E-2</v>
          </cell>
          <cell r="AB20">
            <v>1.3822047532158876E-2</v>
          </cell>
        </row>
        <row r="21">
          <cell r="C21">
            <v>4.0583333333333336</v>
          </cell>
          <cell r="D21">
            <v>1.368188618827256E-2</v>
          </cell>
          <cell r="AA21">
            <v>2.3143820570187046E-2</v>
          </cell>
          <cell r="AB21">
            <v>1.4441012590940439E-2</v>
          </cell>
        </row>
        <row r="22">
          <cell r="C22">
            <v>4.3138888888888891</v>
          </cell>
          <cell r="D22">
            <v>1.414504609625686E-2</v>
          </cell>
          <cell r="AA22">
            <v>2.1357000565942919E-2</v>
          </cell>
          <cell r="AB22">
            <v>1.4876165157948762E-2</v>
          </cell>
        </row>
        <row r="23">
          <cell r="C23">
            <v>4.5694444444444446</v>
          </cell>
          <cell r="D23">
            <v>1.4608206004241162E-2</v>
          </cell>
          <cell r="AA23">
            <v>2.2271841647696355E-2</v>
          </cell>
          <cell r="AB23">
            <v>1.5313907198638788E-2</v>
          </cell>
        </row>
        <row r="24">
          <cell r="C24">
            <v>4.822222222222222</v>
          </cell>
          <cell r="D24">
            <v>1.5066331565399545E-2</v>
          </cell>
          <cell r="AA24">
            <v>2.3181297113869626E-2</v>
          </cell>
          <cell r="AB24">
            <v>1.5748986740076631E-2</v>
          </cell>
        </row>
        <row r="25">
          <cell r="C25">
            <v>5.072222222222222</v>
          </cell>
          <cell r="D25">
            <v>1.5519422779732013E-2</v>
          </cell>
          <cell r="AA25">
            <v>2.4080407203157073E-2</v>
          </cell>
          <cell r="AB25">
            <v>1.6180988687338527E-2</v>
          </cell>
        </row>
        <row r="26">
          <cell r="C26">
            <v>5.3277777777777775</v>
          </cell>
          <cell r="D26">
            <v>1.5881828088928445E-2</v>
          </cell>
          <cell r="AA26">
            <v>2.2904126496646526E-2</v>
          </cell>
          <cell r="AB26">
            <v>1.651945395804244E-2</v>
          </cell>
        </row>
        <row r="27">
          <cell r="C27">
            <v>5.583333333333333</v>
          </cell>
          <cell r="D27">
            <v>1.6244233398124874E-2</v>
          </cell>
          <cell r="AA27">
            <v>2.3619086367364872E-2</v>
          </cell>
          <cell r="AB27">
            <v>1.6859713202959092E-2</v>
          </cell>
        </row>
        <row r="28">
          <cell r="C28">
            <v>5.8361111111111112</v>
          </cell>
          <cell r="D28">
            <v>1.6602699519177866E-2</v>
          </cell>
          <cell r="AA28">
            <v>2.4329908043107196E-2</v>
          </cell>
          <cell r="AB28">
            <v>1.7197784376930869E-2</v>
          </cell>
        </row>
        <row r="29">
          <cell r="C29">
            <v>6.0861111111111112</v>
          </cell>
          <cell r="D29">
            <v>1.6957226452087418E-2</v>
          </cell>
          <cell r="AA29">
            <v>2.5032713272272744E-2</v>
          </cell>
          <cell r="AB29">
            <v>1.7533413859400326E-2</v>
          </cell>
        </row>
        <row r="30">
          <cell r="C30">
            <v>6.3416666666666668</v>
          </cell>
          <cell r="D30">
            <v>1.7256842921508003E-2</v>
          </cell>
          <cell r="AA30">
            <v>2.4197951916038463E-2</v>
          </cell>
          <cell r="AB30">
            <v>1.7813035414253164E-2</v>
          </cell>
        </row>
        <row r="31">
          <cell r="C31">
            <v>6.5972222222222223</v>
          </cell>
          <cell r="D31">
            <v>1.7556459390928592E-2</v>
          </cell>
          <cell r="AA31">
            <v>2.4788460558493597E-2</v>
          </cell>
          <cell r="AB31">
            <v>1.8093896166726076E-2</v>
          </cell>
        </row>
        <row r="32">
          <cell r="C32">
            <v>6.85</v>
          </cell>
          <cell r="D32">
            <v>1.7852819159594604E-2</v>
          </cell>
          <cell r="AA32">
            <v>2.5375587691755186E-2</v>
          </cell>
          <cell r="AB32">
            <v>1.8372774518193857E-2</v>
          </cell>
        </row>
        <row r="33">
          <cell r="C33">
            <v>7.1</v>
          </cell>
          <cell r="D33">
            <v>1.8145922227506047E-2</v>
          </cell>
          <cell r="AA33">
            <v>2.5956129055197508E-2</v>
          </cell>
          <cell r="AB33">
            <v>1.8649512423056791E-2</v>
          </cell>
        </row>
        <row r="34">
          <cell r="C34">
            <v>7.3555555555555552</v>
          </cell>
          <cell r="D34">
            <v>1.8372302499833744E-2</v>
          </cell>
          <cell r="AA34">
            <v>2.445668797372047E-2</v>
          </cell>
          <cell r="AB34">
            <v>1.8858388940471649E-2</v>
          </cell>
        </row>
        <row r="35">
          <cell r="C35">
            <v>7.6111111111111107</v>
          </cell>
          <cell r="D35">
            <v>1.8598682772161441E-2</v>
          </cell>
          <cell r="AA35">
            <v>2.4902592349643093E-2</v>
          </cell>
          <cell r="AB35">
            <v>1.9068231647285216E-2</v>
          </cell>
        </row>
        <row r="36">
          <cell r="C36">
            <v>7.8638888888888889</v>
          </cell>
          <cell r="D36">
            <v>1.8822602389355139E-2</v>
          </cell>
          <cell r="AA36">
            <v>2.5345975171984669E-2</v>
          </cell>
          <cell r="AB36">
            <v>1.9276644850120483E-2</v>
          </cell>
        </row>
        <row r="37">
          <cell r="C37">
            <v>8.1166666666666671</v>
          </cell>
          <cell r="D37">
            <v>1.9046522006548841E-2</v>
          </cell>
          <cell r="AA37">
            <v>2.578683782324287E-2</v>
          </cell>
          <cell r="AB37">
            <v>1.9485819299299045E-2</v>
          </cell>
        </row>
        <row r="38">
          <cell r="C38">
            <v>8.3722222222222218</v>
          </cell>
          <cell r="D38">
            <v>1.9251759463930953E-2</v>
          </cell>
          <cell r="AA38">
            <v>2.5546059869288484E-2</v>
          </cell>
          <cell r="AB38">
            <v>1.9676488519282387E-2</v>
          </cell>
        </row>
        <row r="39">
          <cell r="C39">
            <v>8.6277777777777782</v>
          </cell>
          <cell r="D39">
            <v>1.9456996921313065E-2</v>
          </cell>
          <cell r="AA39">
            <v>2.5950037131186043E-2</v>
          </cell>
          <cell r="AB39">
            <v>1.9867838974629848E-2</v>
          </cell>
        </row>
        <row r="40">
          <cell r="C40">
            <v>8.8805555555555564</v>
          </cell>
          <cell r="D40">
            <v>1.9660003536767109E-2</v>
          </cell>
          <cell r="AA40">
            <v>2.6351738307578643E-2</v>
          </cell>
          <cell r="AB40">
            <v>2.0057717693446442E-2</v>
          </cell>
        </row>
        <row r="41">
          <cell r="C41">
            <v>9.1305555555555564</v>
          </cell>
          <cell r="D41">
            <v>1.9860779310293088E-2</v>
          </cell>
          <cell r="AA41">
            <v>2.6748970205878742E-2</v>
          </cell>
          <cell r="AB41">
            <v>2.0246051400667042E-2</v>
          </cell>
        </row>
        <row r="42">
          <cell r="C42">
            <v>9.3861111111111111</v>
          </cell>
          <cell r="D42">
            <v>2.0004216950499264E-2</v>
          </cell>
          <cell r="AA42">
            <v>2.4908620129585834E-2</v>
          </cell>
          <cell r="AB42">
            <v>2.0376478758020511E-2</v>
          </cell>
        </row>
        <row r="43">
          <cell r="C43">
            <v>9.6416666666666675</v>
          </cell>
          <cell r="D43">
            <v>2.014765459070544E-2</v>
          </cell>
          <cell r="AA43">
            <v>2.519089968956667E-2</v>
          </cell>
          <cell r="AB43">
            <v>2.050748466091612E-2</v>
          </cell>
        </row>
        <row r="44">
          <cell r="C44">
            <v>9.8944444444444439</v>
          </cell>
          <cell r="D44">
            <v>2.0289533126126764E-2</v>
          </cell>
          <cell r="AA44">
            <v>2.5471605808316866E-2</v>
          </cell>
          <cell r="AB44">
            <v>2.0637589467745521E-2</v>
          </cell>
        </row>
        <row r="45">
          <cell r="C45">
            <v>10.144444444444444</v>
          </cell>
          <cell r="D45">
            <v>2.0429852556763241E-2</v>
          </cell>
          <cell r="AA45">
            <v>2.5749205493119653E-2</v>
          </cell>
          <cell r="AB45">
            <v>2.0766735713685591E-2</v>
          </cell>
        </row>
        <row r="46">
          <cell r="AB46">
            <v>2.0895981785847617E-2</v>
          </cell>
        </row>
        <row r="47">
          <cell r="AB47">
            <v>2.1025650170324539E-2</v>
          </cell>
        </row>
        <row r="48">
          <cell r="AB48">
            <v>2.1154293774242383E-2</v>
          </cell>
        </row>
        <row r="49">
          <cell r="AB49">
            <v>2.1281872864015838E-2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MKT"/>
      <sheetName val="ASSET SWAP"/>
      <sheetName val="Tabla"/>
      <sheetName val="Calibración"/>
    </sheetNames>
    <sheetDataSet>
      <sheetData sheetId="0" refreshError="1"/>
      <sheetData sheetId="1" refreshError="1"/>
      <sheetData sheetId="2" refreshError="1">
        <row r="1">
          <cell r="M1">
            <v>0.25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lp"/>
    </sheetNames>
    <definedNames>
      <definedName name="blp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8FDFB-BFA3-4AEA-89D5-71B03A7DE3D6}">
  <sheetPr codeName="Sheet1"/>
  <dimension ref="A1:XFD127"/>
  <sheetViews>
    <sheetView workbookViewId="0">
      <selection sqref="A1:XFD1048576"/>
    </sheetView>
  </sheetViews>
  <sheetFormatPr defaultColWidth="9.140625" defaultRowHeight="15" x14ac:dyDescent="0.25"/>
  <cols>
    <col min="1" max="1" width="9.5703125" style="5" customWidth="1"/>
    <col min="2" max="2" width="27.85546875" style="5" bestFit="1" customWidth="1"/>
    <col min="3" max="3" width="13" style="5" bestFit="1" customWidth="1"/>
    <col min="4" max="4" width="18.140625" style="5" bestFit="1" customWidth="1"/>
    <col min="5" max="5" width="13" style="5" bestFit="1" customWidth="1"/>
    <col min="6" max="6" width="20.28515625" style="5" customWidth="1"/>
    <col min="7" max="7" width="24.140625" style="5" bestFit="1" customWidth="1"/>
    <col min="8" max="8" width="15" style="5" bestFit="1" customWidth="1"/>
    <col min="9" max="10" width="12.28515625" style="5" bestFit="1" customWidth="1"/>
    <col min="11" max="11" width="12.7109375" style="5" bestFit="1" customWidth="1"/>
    <col min="12" max="12" width="17.42578125" style="5" bestFit="1" customWidth="1"/>
    <col min="13" max="13" width="11.28515625" style="5" bestFit="1" customWidth="1"/>
    <col min="14" max="14" width="15.7109375" style="5" bestFit="1" customWidth="1"/>
    <col min="15" max="15" width="14.5703125" style="5" bestFit="1" customWidth="1"/>
    <col min="16" max="16" width="13.85546875" style="5" bestFit="1" customWidth="1"/>
    <col min="17" max="17" width="11.42578125" style="5" bestFit="1" customWidth="1"/>
    <col min="18" max="18" width="7.7109375" style="5" bestFit="1" customWidth="1"/>
    <col min="19" max="19" width="11.5703125" style="5" bestFit="1" customWidth="1"/>
    <col min="20" max="20" width="16.5703125" style="5" bestFit="1" customWidth="1"/>
    <col min="21" max="21" width="10.85546875" style="5" bestFit="1" customWidth="1"/>
    <col min="22" max="22" width="9.140625" style="5"/>
    <col min="23" max="23" width="10.85546875" style="5" bestFit="1" customWidth="1"/>
    <col min="24" max="24" width="12" style="5" bestFit="1" customWidth="1"/>
    <col min="25" max="25" width="9.140625" style="5"/>
    <col min="26" max="27" width="9.85546875" style="5" bestFit="1" customWidth="1"/>
    <col min="28" max="28" width="9.140625" style="5"/>
    <col min="29" max="29" width="11.5703125" style="5" bestFit="1" customWidth="1"/>
    <col min="30" max="30" width="11.5703125" style="5" customWidth="1"/>
    <col min="31" max="34" width="9.42578125" style="5" customWidth="1"/>
    <col min="35" max="16384" width="9.140625" style="5"/>
  </cols>
  <sheetData>
    <row r="1" spans="1:34 16384:16384" ht="15.75" thickBot="1" x14ac:dyDescent="0.3">
      <c r="A1" s="1" t="s">
        <v>0</v>
      </c>
      <c r="B1" s="2" t="s">
        <v>1</v>
      </c>
      <c r="C1" s="3" t="e">
        <f ca="1">IF(A1="SPOT SET",[4]!blp("COFX Index","px_last"),[4]!blp("USDCOP Curncy","px_mid"))</f>
        <v>#NAME?</v>
      </c>
      <c r="D1" s="4"/>
      <c r="I1" s="5" t="s">
        <v>2</v>
      </c>
      <c r="J1" s="6" t="e">
        <f ca="1">USDCOP*((1+coupon1_IBR/360)/(1+coupon1_LIBOR/360))-USDCOP</f>
        <v>#NAME?</v>
      </c>
      <c r="K1" s="7"/>
      <c r="M1" s="8" t="s">
        <v>3</v>
      </c>
      <c r="N1" s="9" t="e">
        <f ca="1">_xll.BDP("UVR Index","px_last")</f>
        <v>#NAME?</v>
      </c>
      <c r="T1" s="10"/>
      <c r="U1" s="5" t="s">
        <v>4</v>
      </c>
      <c r="XFD1" s="5" t="s">
        <v>5</v>
      </c>
    </row>
    <row r="2" spans="1:34 16384:16384" ht="15.75" thickBot="1" x14ac:dyDescent="0.3">
      <c r="D2" s="11" t="s">
        <v>5</v>
      </c>
      <c r="G2" s="11" t="s">
        <v>5</v>
      </c>
      <c r="T2" s="12"/>
      <c r="U2" s="5" t="s">
        <v>6</v>
      </c>
      <c r="Y2" s="13"/>
      <c r="Z2" s="311" t="s">
        <v>7</v>
      </c>
      <c r="AA2" s="312"/>
      <c r="AB2" s="312"/>
      <c r="AC2" s="313"/>
      <c r="AD2" s="14" t="s">
        <v>7</v>
      </c>
      <c r="AE2" s="15" t="s">
        <v>8</v>
      </c>
      <c r="AF2" s="15" t="s">
        <v>9</v>
      </c>
      <c r="AG2" s="15" t="s">
        <v>10</v>
      </c>
      <c r="AH2" s="15" t="s">
        <v>11</v>
      </c>
      <c r="XFD2" s="5" t="s">
        <v>12</v>
      </c>
    </row>
    <row r="3" spans="1:34 16384:16384" ht="15.75" thickBot="1" x14ac:dyDescent="0.3">
      <c r="D3" s="314" t="s">
        <v>13</v>
      </c>
      <c r="E3" s="315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6"/>
      <c r="T3" s="16"/>
      <c r="U3" s="5" t="s">
        <v>14</v>
      </c>
      <c r="Y3" s="17"/>
      <c r="Z3" s="18" t="s">
        <v>15</v>
      </c>
      <c r="AA3" s="19" t="s">
        <v>16</v>
      </c>
      <c r="AB3" s="19" t="s">
        <v>15</v>
      </c>
      <c r="AC3" s="3" t="s">
        <v>16</v>
      </c>
      <c r="AD3" s="20"/>
      <c r="AE3" s="13" t="s">
        <v>17</v>
      </c>
      <c r="AF3" s="13" t="s">
        <v>15</v>
      </c>
      <c r="AG3" s="5" t="s">
        <v>15</v>
      </c>
      <c r="AH3" s="13" t="s">
        <v>15</v>
      </c>
    </row>
    <row r="4" spans="1:34 16384:16384" ht="15.75" thickBot="1" x14ac:dyDescent="0.3">
      <c r="A4" s="21"/>
      <c r="B4" s="22">
        <f ca="1">TODAY()</f>
        <v>43907</v>
      </c>
      <c r="C4" s="23" t="s">
        <v>18</v>
      </c>
      <c r="D4" s="15" t="s">
        <v>19</v>
      </c>
      <c r="E4" s="15" t="s">
        <v>20</v>
      </c>
      <c r="F4" s="15" t="s">
        <v>21</v>
      </c>
      <c r="G4" s="15" t="s">
        <v>22</v>
      </c>
      <c r="H4" s="15" t="s">
        <v>23</v>
      </c>
      <c r="I4" s="15" t="s">
        <v>24</v>
      </c>
      <c r="J4" s="15" t="s">
        <v>25</v>
      </c>
      <c r="K4" s="15" t="s">
        <v>26</v>
      </c>
      <c r="L4" s="15" t="s">
        <v>27</v>
      </c>
      <c r="M4" s="14" t="s">
        <v>28</v>
      </c>
      <c r="N4" s="24" t="s">
        <v>29</v>
      </c>
      <c r="O4" s="15" t="s">
        <v>30</v>
      </c>
      <c r="P4" s="15" t="s">
        <v>31</v>
      </c>
      <c r="Q4" s="15" t="s">
        <v>32</v>
      </c>
      <c r="R4"/>
      <c r="T4" s="25" t="s">
        <v>33</v>
      </c>
      <c r="U4" s="26" t="s">
        <v>34</v>
      </c>
      <c r="V4" s="7"/>
      <c r="W4" s="7"/>
      <c r="X4" s="7"/>
      <c r="Y4" s="17"/>
      <c r="Z4" s="311" t="s">
        <v>35</v>
      </c>
      <c r="AA4" s="313"/>
      <c r="AB4" s="311" t="s">
        <v>36</v>
      </c>
      <c r="AC4" s="313"/>
      <c r="AD4" s="27"/>
      <c r="AE4" s="28" t="s">
        <v>36</v>
      </c>
      <c r="AF4" s="28" t="s">
        <v>36</v>
      </c>
      <c r="AG4" s="5" t="s">
        <v>36</v>
      </c>
      <c r="AH4" s="28" t="s">
        <v>36</v>
      </c>
    </row>
    <row r="5" spans="1:34 16384:16384" x14ac:dyDescent="0.25">
      <c r="A5" s="29" t="s">
        <v>37</v>
      </c>
      <c r="B5" s="30">
        <f ca="1">WORKDAY($B$4,1)</f>
        <v>43908</v>
      </c>
      <c r="C5" s="31">
        <f ca="1">+(B5-$B$4)/360</f>
        <v>2.7777777777777779E-3</v>
      </c>
      <c r="D5" s="32" t="e">
        <f ca="1">IF(D2="MKT",[4]!blp("COOVIBR Index","px_last")/100,T5)</f>
        <v>#NAME?</v>
      </c>
      <c r="E5" s="32" t="e">
        <f ca="1">_xll.BDP("US00O/N Index","px_last")/100</f>
        <v>#NAME?</v>
      </c>
      <c r="F5" s="33"/>
      <c r="G5" s="34"/>
      <c r="H5" s="13"/>
      <c r="J5" s="13"/>
      <c r="K5" s="13"/>
      <c r="L5" s="13"/>
      <c r="M5" s="35"/>
      <c r="N5" s="36" t="e">
        <f>#REF!</f>
        <v>#REF!</v>
      </c>
      <c r="O5" s="37"/>
      <c r="P5" s="37"/>
      <c r="Q5" s="32" t="e">
        <f ca="1">_xll.BDP("FEDL01 Index","px_last")/100</f>
        <v>#NAME?</v>
      </c>
      <c r="R5" s="38">
        <v>100</v>
      </c>
      <c r="T5" s="39">
        <v>4.301E-2</v>
      </c>
      <c r="U5" s="40"/>
      <c r="Y5" s="17"/>
      <c r="Z5" s="32"/>
      <c r="AA5" s="32"/>
      <c r="AB5" s="32"/>
      <c r="AC5" s="32"/>
      <c r="AD5" s="32"/>
      <c r="AE5" s="32"/>
      <c r="AF5" s="34"/>
      <c r="AG5" s="41"/>
      <c r="AH5" s="13"/>
    </row>
    <row r="6" spans="1:34 16384:16384" x14ac:dyDescent="0.25">
      <c r="A6" s="29" t="s">
        <v>38</v>
      </c>
      <c r="B6" s="42">
        <f ca="1">EDATE(B4,1)</f>
        <v>43938</v>
      </c>
      <c r="C6" s="43">
        <f t="shared" ref="C6:C22" ca="1" si="0">+(B6-$B$4)/360</f>
        <v>8.611111111111111E-2</v>
      </c>
      <c r="D6" s="44" t="e">
        <f t="shared" ref="D6:D22" ca="1" si="1">IF($D$2="MKT",Z6,T6)</f>
        <v>#NAME?</v>
      </c>
      <c r="E6" s="44" t="e">
        <f ca="1">[4]!blp("USSWA Index","px_last")/100</f>
        <v>#NAME?</v>
      </c>
      <c r="F6" s="45"/>
      <c r="G6" s="46"/>
      <c r="H6" s="17"/>
      <c r="J6" s="17"/>
      <c r="K6" s="17"/>
      <c r="L6" s="17"/>
      <c r="N6" s="47" t="e">
        <f>#REF!</f>
        <v>#REF!</v>
      </c>
      <c r="O6" s="48"/>
      <c r="P6" s="48"/>
      <c r="Q6" s="44" t="e">
        <f ca="1">[4]!blp("USSOA Index","px_last")/100</f>
        <v>#NAME?</v>
      </c>
      <c r="R6" s="49">
        <v>100</v>
      </c>
      <c r="T6" s="50">
        <v>4.3499999999999997E-2</v>
      </c>
      <c r="U6" s="51"/>
      <c r="V6" s="52"/>
      <c r="W6" s="52"/>
      <c r="X6" s="52"/>
      <c r="Y6" s="53" t="s">
        <v>39</v>
      </c>
      <c r="Z6" s="54" t="e">
        <f ca="1">[4]!blp($Z$2&amp;Y6&amp;" "&amp;$Z$3,$Z$4)/100</f>
        <v>#NAME?</v>
      </c>
      <c r="AA6" s="54" t="str">
        <f ca="1">IF(ISERROR([4]!blp($Z$2&amp;Y6&amp;" "&amp;$AA$3,$Z$4)/100)=TRUE,"",[4]!blp($Z$2&amp;Y6&amp;" "&amp;$AA$3,$Z$4)/100)</f>
        <v/>
      </c>
      <c r="AB6" s="55" t="e">
        <f ca="1">[4]!blp($Z$2&amp;Y6&amp;" "&amp;$AB$3,$AB$4)*100</f>
        <v>#NAME?</v>
      </c>
      <c r="AC6" s="55" t="str">
        <f ca="1">IF(ISERROR([4]!blp($Z$2&amp;Y6&amp;" "&amp;$AC$3,$AB$4)*100)=TRUE,"",[4]!blp($Z$2&amp;Y6&amp;" "&amp;$AC$3,$AB$4)*100)</f>
        <v/>
      </c>
      <c r="AD6" s="55" t="e">
        <f ca="1">+AB6</f>
        <v>#NAME?</v>
      </c>
      <c r="AE6" s="55" t="e">
        <f ca="1">[4]!blp($AE$2&amp;Y6&amp;" "&amp;$AE$3,$AE$4)*100</f>
        <v>#NAME?</v>
      </c>
      <c r="AF6" s="46"/>
      <c r="AG6" s="56"/>
      <c r="AH6" s="17"/>
    </row>
    <row r="7" spans="1:34 16384:16384" x14ac:dyDescent="0.25">
      <c r="A7" s="29" t="s">
        <v>40</v>
      </c>
      <c r="B7" s="42">
        <f ca="1">EDATE(B4,3)</f>
        <v>43999</v>
      </c>
      <c r="C7" s="43">
        <f t="shared" ca="1" si="0"/>
        <v>0.25555555555555554</v>
      </c>
      <c r="D7" s="44" t="e">
        <f t="shared" ca="1" si="1"/>
        <v>#NAME?</v>
      </c>
      <c r="E7" s="44" t="e">
        <f ca="1">[4]!blp("USSWC Curncy","px_last")/100</f>
        <v>#NAME?</v>
      </c>
      <c r="F7" s="45"/>
      <c r="G7" s="57" t="e">
        <f ca="1">+J31</f>
        <v>#NAME?</v>
      </c>
      <c r="H7" s="17"/>
      <c r="J7" s="17"/>
      <c r="K7" s="17"/>
      <c r="L7" s="17"/>
      <c r="N7" s="47" t="e">
        <f>#REF!</f>
        <v>#REF!</v>
      </c>
      <c r="O7" s="48"/>
      <c r="P7" s="48"/>
      <c r="Q7" s="44" t="e">
        <f ca="1">[4]!blp("USSOC Curncy","px_last")/100</f>
        <v>#NAME?</v>
      </c>
      <c r="R7" s="49">
        <v>100</v>
      </c>
      <c r="T7" s="50">
        <v>4.4000000000000004E-2</v>
      </c>
      <c r="U7" s="51"/>
      <c r="V7" s="7"/>
      <c r="W7" s="7"/>
      <c r="X7" s="7"/>
      <c r="Y7" s="53" t="s">
        <v>41</v>
      </c>
      <c r="Z7" s="54" t="e">
        <f ca="1">[4]!blp($Z$2&amp;Y7&amp;" "&amp;$Z$3,$Z$4)/100</f>
        <v>#NAME?</v>
      </c>
      <c r="AA7" s="54" t="str">
        <f ca="1">IF(ISERROR([4]!blp($Z$2&amp;Y7&amp;" "&amp;$AA$3,$Z$4)/100)=TRUE,"",[4]!blp($Z$2&amp;Y7&amp;" "&amp;$AA$3,$Z$4)/100)</f>
        <v/>
      </c>
      <c r="AB7" s="55" t="e">
        <f ca="1">[4]!blp($Z$2&amp;Y7&amp;" "&amp;$AB$3,$AB$4)*100</f>
        <v>#NAME?</v>
      </c>
      <c r="AC7" s="55" t="str">
        <f ca="1">IF(ISERROR([4]!blp($Z$2&amp;Y7&amp;" "&amp;$AC$3,$AB$4)*100)=TRUE,"",[4]!blp($Z$2&amp;Y7&amp;" "&amp;$AC$3,$AB$4)*100)</f>
        <v/>
      </c>
      <c r="AD7" s="55" t="e">
        <f t="shared" ref="AD7:AD21" ca="1" si="2">+AB7</f>
        <v>#NAME?</v>
      </c>
      <c r="AE7" s="55" t="e">
        <f ca="1">[4]!blp($AE$2&amp;Y7&amp;" "&amp;$AE$3,$AE$4)*100</f>
        <v>#NAME?</v>
      </c>
      <c r="AF7" s="46"/>
      <c r="AG7" s="56"/>
      <c r="AH7" s="17"/>
    </row>
    <row r="8" spans="1:34 16384:16384" x14ac:dyDescent="0.25">
      <c r="A8" s="29" t="s">
        <v>42</v>
      </c>
      <c r="B8" s="42">
        <f ca="1">EDATE(B7,3)</f>
        <v>44091</v>
      </c>
      <c r="C8" s="43">
        <f t="shared" ca="1" si="0"/>
        <v>0.51111111111111107</v>
      </c>
      <c r="D8" s="44" t="e">
        <f t="shared" ca="1" si="1"/>
        <v>#NAME?</v>
      </c>
      <c r="E8" s="44" t="e">
        <f ca="1">[4]!blp("USSWFV3 Curncy","px_last")/100</f>
        <v>#NAME?</v>
      </c>
      <c r="F8" s="58"/>
      <c r="G8" s="57">
        <v>4.4135308879121749E-3</v>
      </c>
      <c r="H8" s="59"/>
      <c r="J8" s="17"/>
      <c r="K8" s="17"/>
      <c r="L8" s="17"/>
      <c r="N8" s="47" t="e">
        <f>#REF!</f>
        <v>#REF!</v>
      </c>
      <c r="O8" s="48"/>
      <c r="P8" s="48"/>
      <c r="Q8" s="44" t="e">
        <f ca="1">[4]!blp("USSOF Curncy","px_last")/100</f>
        <v>#NAME?</v>
      </c>
      <c r="R8" s="49">
        <v>100</v>
      </c>
      <c r="T8" s="50">
        <v>4.4900000000000002E-2</v>
      </c>
      <c r="U8" s="51"/>
      <c r="V8" s="7"/>
      <c r="W8" s="7"/>
      <c r="X8" s="7"/>
      <c r="Y8" s="53" t="s">
        <v>43</v>
      </c>
      <c r="Z8" s="54" t="e">
        <f ca="1">[4]!blp($Z$2&amp;Y8&amp;" "&amp;$Z$3,$Z$4)/100</f>
        <v>#NAME?</v>
      </c>
      <c r="AA8" s="54" t="str">
        <f ca="1">IF(ISERROR([4]!blp($Z$2&amp;Y8&amp;" "&amp;$AA$3,$Z$4)/100)=TRUE,"",[4]!blp($Z$2&amp;Y8&amp;" "&amp;$AA$3,$Z$4)/100)</f>
        <v/>
      </c>
      <c r="AB8" s="55" t="e">
        <f ca="1">[4]!blp($Z$2&amp;Y8&amp;" "&amp;$AB$3,$AB$4)*100</f>
        <v>#NAME?</v>
      </c>
      <c r="AC8" s="55" t="str">
        <f ca="1">IF(ISERROR([4]!blp($Z$2&amp;Y8&amp;" "&amp;$AC$3,$AB$4)*100)=TRUE,"",[4]!blp($Z$2&amp;Y8&amp;" "&amp;$AC$3,$AB$4)*100)</f>
        <v/>
      </c>
      <c r="AD8" s="55" t="e">
        <f t="shared" ca="1" si="2"/>
        <v>#NAME?</v>
      </c>
      <c r="AE8" s="55" t="e">
        <f ca="1">[4]!blp($AE$2&amp;Y8&amp;" "&amp;$AE$3,$AE$4)*100</f>
        <v>#NAME?</v>
      </c>
      <c r="AF8" s="46"/>
      <c r="AG8" s="60"/>
      <c r="AH8" s="17"/>
    </row>
    <row r="9" spans="1:34 16384:16384" ht="15.75" thickBot="1" x14ac:dyDescent="0.3">
      <c r="A9" s="29" t="s">
        <v>44</v>
      </c>
      <c r="B9" s="42">
        <f ca="1">EDATE(B8,3)</f>
        <v>44182</v>
      </c>
      <c r="C9" s="43">
        <f t="shared" ca="1" si="0"/>
        <v>0.76388888888888884</v>
      </c>
      <c r="D9" s="44" t="e">
        <f t="shared" ca="1" si="1"/>
        <v>#NAME?</v>
      </c>
      <c r="E9" s="44" t="e">
        <f ca="1">[4]!blp("USSWIV3 Curncy","px_last")/100</f>
        <v>#NAME?</v>
      </c>
      <c r="F9" s="58"/>
      <c r="G9" s="57">
        <v>5.2456680316027024E-3</v>
      </c>
      <c r="H9" s="17"/>
      <c r="J9" s="17"/>
      <c r="K9" s="17"/>
      <c r="L9" s="17"/>
      <c r="N9" s="47" t="e">
        <f>#REF!</f>
        <v>#REF!</v>
      </c>
      <c r="O9" s="48"/>
      <c r="P9" s="48"/>
      <c r="Q9" s="44" t="e">
        <f ca="1">[4]!blp("USSOI Curncy","px_last")/100</f>
        <v>#NAME?</v>
      </c>
      <c r="R9" s="49">
        <v>100</v>
      </c>
      <c r="T9" s="50">
        <v>4.5199999999999997E-2</v>
      </c>
      <c r="U9" s="51"/>
      <c r="V9" s="7"/>
      <c r="W9" s="7"/>
      <c r="X9" s="7"/>
      <c r="Y9" s="53" t="s">
        <v>45</v>
      </c>
      <c r="Z9" s="54" t="e">
        <f ca="1">[4]!blp($Z$2&amp;Y9&amp;" "&amp;$Z$3,$Z$4)/100</f>
        <v>#NAME?</v>
      </c>
      <c r="AA9" s="54" t="str">
        <f ca="1">IF(ISERROR([4]!blp($Z$2&amp;Y9&amp;" "&amp;$AA$3,$Z$4)/100)=TRUE,"",[4]!blp($Z$2&amp;Y9&amp;" "&amp;$AA$3,$Z$4)/100)</f>
        <v/>
      </c>
      <c r="AB9" s="55" t="e">
        <f ca="1">[4]!blp($Z$2&amp;Y9&amp;" "&amp;$AB$3,$AB$4)*100</f>
        <v>#NAME?</v>
      </c>
      <c r="AC9" s="55" t="str">
        <f ca="1">IF(ISERROR([4]!blp($Z$2&amp;Y9&amp;" "&amp;$AC$3,$AB$4)*100)=TRUE,"",[4]!blp($Z$2&amp;Y9&amp;" "&amp;$AC$3,$AB$4)*100)</f>
        <v/>
      </c>
      <c r="AD9" s="55" t="e">
        <f t="shared" ca="1" si="2"/>
        <v>#NAME?</v>
      </c>
      <c r="AE9" s="55" t="e">
        <f ca="1">[4]!blp($AE$2&amp;Y9&amp;" "&amp;$AE$3,$AE$4)*100</f>
        <v>#NAME?</v>
      </c>
      <c r="AF9" s="46"/>
      <c r="AG9" s="56"/>
      <c r="AH9" s="17"/>
    </row>
    <row r="10" spans="1:34 16384:16384" ht="15.75" thickBot="1" x14ac:dyDescent="0.3">
      <c r="A10" s="29" t="s">
        <v>46</v>
      </c>
      <c r="B10" s="42">
        <f ca="1">EDATE(B4,12)</f>
        <v>44272</v>
      </c>
      <c r="C10" s="43">
        <f t="shared" ca="1" si="0"/>
        <v>1.0138888888888888</v>
      </c>
      <c r="D10" s="44" t="e">
        <f t="shared" ca="1" si="1"/>
        <v>#NAME?</v>
      </c>
      <c r="E10" s="44" t="e">
        <f ca="1">[4]!blp("USSW1V3 Curncy","px_last")/100</f>
        <v>#NAME?</v>
      </c>
      <c r="F10" s="58"/>
      <c r="G10" s="57">
        <v>4.9009981958538854E-3</v>
      </c>
      <c r="H10" s="17"/>
      <c r="J10" s="61" t="e">
        <f>((1+(1+(1-#REF!)/SUMPRODUCT(#REF!,#REF!)/4)^4-1)^0.5-1)*2</f>
        <v>#REF!</v>
      </c>
      <c r="K10" s="62">
        <f>+E34</f>
        <v>95</v>
      </c>
      <c r="L10" s="63" t="e">
        <f ca="1">((K10+USDCOP)/USDCOP)^(365/(B10-As_of_date))-1</f>
        <v>#NAME?</v>
      </c>
      <c r="N10" s="64" t="e">
        <f>#REF!</f>
        <v>#REF!</v>
      </c>
      <c r="O10" s="32" t="e">
        <f ca="1">[4]!blp("CCOL1U1 Index","px_mid")/10000</f>
        <v>#NAME?</v>
      </c>
      <c r="P10" s="32" t="e">
        <f ca="1">+(L11-L10)/(B11-B10)</f>
        <v>#NAME?</v>
      </c>
      <c r="Q10" s="44" t="e">
        <f ca="1">[4]!blp("USSO1 Curncy","px_last")/100</f>
        <v>#NAME?</v>
      </c>
      <c r="R10" s="49">
        <v>100</v>
      </c>
      <c r="T10" s="50">
        <v>4.5700000000000005E-2</v>
      </c>
      <c r="U10" s="51"/>
      <c r="V10" s="7"/>
      <c r="W10" s="7"/>
      <c r="X10" s="7"/>
      <c r="Y10" s="53">
        <v>1</v>
      </c>
      <c r="Z10" s="54" t="e">
        <f ca="1">[4]!blp($Z$2&amp;Y10&amp;" "&amp;$Z$3,$Z$4)/100</f>
        <v>#NAME?</v>
      </c>
      <c r="AA10" s="54" t="str">
        <f ca="1">IF(ISERROR([4]!blp($Z$2&amp;Y10&amp;" "&amp;$AA$3,$Z$4)/100)=TRUE,"",[4]!blp($Z$2&amp;Y10&amp;" "&amp;$AA$3,$Z$4)/100)</f>
        <v/>
      </c>
      <c r="AB10" s="55" t="e">
        <f ca="1">[4]!blp($Z$2&amp;Y10&amp;" "&amp;$AB$3,$AB$4)*100</f>
        <v>#NAME?</v>
      </c>
      <c r="AC10" s="55" t="str">
        <f ca="1">IF(ISERROR([4]!blp($Z$2&amp;Y10&amp;" "&amp;$AC$3,$AB$4)*100)=TRUE,"",[4]!blp($Z$2&amp;Y10&amp;" "&amp;$AC$3,$AB$4)*100)</f>
        <v/>
      </c>
      <c r="AD10" s="55" t="e">
        <f t="shared" ca="1" si="2"/>
        <v>#NAME?</v>
      </c>
      <c r="AE10" s="55" t="e">
        <f ca="1">[4]!blp($AE$2&amp;Y10&amp;" "&amp;$AE$3,$AE$4)*100</f>
        <v>#NAME?</v>
      </c>
      <c r="AF10" s="46"/>
      <c r="AG10" s="56"/>
      <c r="AH10" s="17"/>
    </row>
    <row r="11" spans="1:34 16384:16384" ht="15.75" thickBot="1" x14ac:dyDescent="0.3">
      <c r="A11" s="29" t="s">
        <v>47</v>
      </c>
      <c r="B11" s="65">
        <f ca="1">EDATE(B10,6)</f>
        <v>44456</v>
      </c>
      <c r="C11" s="66">
        <f t="shared" ca="1" si="0"/>
        <v>1.5249999999999999</v>
      </c>
      <c r="D11" s="44" t="e">
        <f t="shared" ca="1" si="1"/>
        <v>#NAME?</v>
      </c>
      <c r="E11" s="67"/>
      <c r="F11" s="68"/>
      <c r="G11" s="57">
        <v>9.3246588609310153E-3</v>
      </c>
      <c r="H11" s="17"/>
      <c r="J11" s="17"/>
      <c r="K11" s="69">
        <f>+E35</f>
        <v>117</v>
      </c>
      <c r="L11" s="70" t="e">
        <f ca="1">((K11+USDCOP)/USDCOP)^(365/(B11-As_of_date))-1</f>
        <v>#NAME?</v>
      </c>
      <c r="N11" s="46"/>
      <c r="O11" s="33"/>
      <c r="P11" s="44" t="e">
        <f t="shared" ref="P11:P22" ca="1" si="3">+(L12-L11)/(B12-B11)</f>
        <v>#NAME?</v>
      </c>
      <c r="Q11" s="44" t="e">
        <f ca="1">[4]!blp("USSO1F Curncy","px_last")/100</f>
        <v>#NAME?</v>
      </c>
      <c r="R11" s="49">
        <v>100</v>
      </c>
      <c r="T11" s="50">
        <v>4.7E-2</v>
      </c>
      <c r="U11" s="51"/>
      <c r="V11" s="7"/>
      <c r="W11" s="7"/>
      <c r="X11" s="7"/>
      <c r="Y11" s="53" t="s">
        <v>48</v>
      </c>
      <c r="Z11" s="54" t="e">
        <f ca="1">[4]!blp($Z$2&amp;Y11&amp;" "&amp;$Z$3,$Z$4)/100</f>
        <v>#NAME?</v>
      </c>
      <c r="AA11" s="54" t="str">
        <f ca="1">IF(ISERROR([4]!blp($Z$2&amp;Y11&amp;" "&amp;$AA$3,$Z$4)/100)=TRUE,"",[4]!blp($Z$2&amp;Y11&amp;" "&amp;$AA$3,$Z$4)/100)</f>
        <v/>
      </c>
      <c r="AB11" s="55" t="e">
        <f ca="1">[4]!blp($Z$2&amp;Y11&amp;" "&amp;$AB$3,$AB$4)*100</f>
        <v>#NAME?</v>
      </c>
      <c r="AC11" s="55" t="str">
        <f ca="1">IF(ISERROR([4]!blp($Z$2&amp;Y11&amp;" "&amp;$AC$3,$AB$4)*100)=TRUE,"",[4]!blp($Z$2&amp;Y11&amp;" "&amp;$AC$3,$AB$4)*100)</f>
        <v/>
      </c>
      <c r="AD11" s="55" t="e">
        <f t="shared" ca="1" si="2"/>
        <v>#NAME?</v>
      </c>
      <c r="AE11" s="55"/>
      <c r="AF11" s="46"/>
      <c r="AG11" s="56"/>
      <c r="AH11" s="17"/>
    </row>
    <row r="12" spans="1:34 16384:16384" x14ac:dyDescent="0.25">
      <c r="A12" s="71" t="s">
        <v>49</v>
      </c>
      <c r="B12" s="72">
        <f ca="1">EDATE(B10,12)</f>
        <v>44637</v>
      </c>
      <c r="C12" s="73">
        <f t="shared" ca="1" si="0"/>
        <v>2.0277777777777777</v>
      </c>
      <c r="D12" s="32" t="e">
        <f t="shared" ca="1" si="1"/>
        <v>#NAME?</v>
      </c>
      <c r="E12" s="32" t="e">
        <f ca="1">[4]!blp("USSW2 Index","px_mid")/100</f>
        <v>#NAME?</v>
      </c>
      <c r="F12" s="63" t="e">
        <f ca="1">[4]!blp("USBC2 Index","px_mid")/10000</f>
        <v>#NAME?</v>
      </c>
      <c r="G12" s="63" t="e">
        <f ca="1">IF($G$2="MKT",[4]!blp("CLBSIB2 Index","px_mid")/10000,U12)</f>
        <v>#NAME?</v>
      </c>
      <c r="H12" s="63" t="e">
        <f ca="1">[4]!blp("CLSWU2 Garb Index","px_mid")/100</f>
        <v>#NAME?</v>
      </c>
      <c r="I12" s="36" t="e">
        <f>(1-#REF!)/SUMPRODUCT(#REF!,#REF!)</f>
        <v>#REF!</v>
      </c>
      <c r="J12" s="36" t="e">
        <f>((1+(1+(1-#REF!)/SUMPRODUCT(#REF!,#REF!)/4)^4-1)^0.5-1)*2</f>
        <v>#REF!</v>
      </c>
      <c r="K12" s="74" t="e">
        <f ca="1">USDCOP*VLOOKUP(B12,#REF!,4,1)/VLOOKUP(B12,#REF!,4,1)-USDCOP</f>
        <v>#NAME?</v>
      </c>
      <c r="L12" s="47" t="e">
        <f ca="1">((K12+USDCOP)/USDCOP)^(365/(B12-As_of_date))-1</f>
        <v>#NAME?</v>
      </c>
      <c r="M12" s="75" t="e">
        <f ca="1">[4]!blp("CLSWR2 Garb Index","px_mid")/100</f>
        <v>#NAME?</v>
      </c>
      <c r="N12" s="63" t="e">
        <f ca="1">[4]!blp("CLSWUI2Y Garb Index","px_mid")/100</f>
        <v>#NAME?</v>
      </c>
      <c r="O12" s="76" t="e">
        <f ca="1">[4]!blp("CCOL1U2 Index","px_mid")/10000</f>
        <v>#NAME?</v>
      </c>
      <c r="P12" s="44" t="e">
        <f t="shared" ca="1" si="3"/>
        <v>#NAME?</v>
      </c>
      <c r="Q12" s="32" t="e">
        <f ca="1">[4]!blp("USSO2 Index","px_mid")/100</f>
        <v>#NAME?</v>
      </c>
      <c r="R12" s="49">
        <v>100</v>
      </c>
      <c r="S12" s="77"/>
      <c r="T12" s="50">
        <v>4.7350000000000003E-2</v>
      </c>
      <c r="U12" s="78">
        <v>6.0000000000000001E-3</v>
      </c>
      <c r="V12" s="7"/>
      <c r="W12" s="7"/>
      <c r="X12" s="7"/>
      <c r="Y12" s="53">
        <v>2</v>
      </c>
      <c r="Z12" s="54" t="e">
        <f ca="1">[4]!blp($Z$2&amp;Y12&amp;" "&amp;$Z$3,$Z$4)/100</f>
        <v>#NAME?</v>
      </c>
      <c r="AA12" s="54" t="str">
        <f ca="1">IF(ISERROR([4]!blp($Z$2&amp;Y12&amp;" "&amp;$AA$3,$Z$4)/100)=TRUE,"",[4]!blp($Z$2&amp;Y12&amp;" "&amp;$AA$3,$Z$4)/100)</f>
        <v/>
      </c>
      <c r="AB12" s="55" t="e">
        <f ca="1">[4]!blp($Z$2&amp;Y12&amp;" "&amp;$AB$3,$AB$4)*100</f>
        <v>#NAME?</v>
      </c>
      <c r="AC12" s="55" t="str">
        <f ca="1">IF(ISERROR([4]!blp($Z$2&amp;Y12&amp;" "&amp;$AC$3,$AB$4)*100)=TRUE,"",[4]!blp($Z$2&amp;Y12&amp;" "&amp;$AC$3,$AB$4)*100)</f>
        <v/>
      </c>
      <c r="AD12" s="55" t="e">
        <f t="shared" ca="1" si="2"/>
        <v>#NAME?</v>
      </c>
      <c r="AE12" s="55" t="e">
        <f ca="1">[4]!blp($AE$2&amp;Y12&amp;" "&amp;$AE$3,$AE$4)*100</f>
        <v>#NAME?</v>
      </c>
      <c r="AF12" s="62" t="e">
        <f ca="1">[4]!blp($AF$2&amp;Y12&amp;" "&amp;$AF$3,$AF$4)</f>
        <v>#NAME?</v>
      </c>
      <c r="AG12" s="79" t="e">
        <f ca="1">[4]!blp($AG$2&amp;Y12&amp;" "&amp;$AG$3,$AG$4)*100</f>
        <v>#NAME?</v>
      </c>
      <c r="AH12" s="62" t="e">
        <f ca="1">[4]!blp($AH$2&amp;Y12&amp;" "&amp;$AH$3,$AH$4)*100</f>
        <v>#NAME?</v>
      </c>
    </row>
    <row r="13" spans="1:34 16384:16384" x14ac:dyDescent="0.25">
      <c r="A13" s="71" t="s">
        <v>50</v>
      </c>
      <c r="B13" s="72">
        <f ca="1">EDATE(B12,12)</f>
        <v>45002</v>
      </c>
      <c r="C13" s="73">
        <f t="shared" ca="1" si="0"/>
        <v>3.0416666666666665</v>
      </c>
      <c r="D13" s="44" t="e">
        <f t="shared" ca="1" si="1"/>
        <v>#NAME?</v>
      </c>
      <c r="E13" s="44" t="e">
        <f ca="1">[4]!blp("USSW3 Index","px_mid")/100</f>
        <v>#NAME?</v>
      </c>
      <c r="F13" s="54" t="e">
        <f ca="1">[4]!blp("USBC3 Index","px_mid")/10000</f>
        <v>#NAME?</v>
      </c>
      <c r="G13" s="54" t="e">
        <f ca="1">IF($G$2="MKT",[4]!blp("CLBSIB3 Index","px_mid")/10000,U13)</f>
        <v>#NAME?</v>
      </c>
      <c r="H13" s="54" t="e">
        <f ca="1">[4]!blp("CLSWU3 Garb Index","px_mid")/100</f>
        <v>#NAME?</v>
      </c>
      <c r="I13" s="47" t="e">
        <f>(1-#REF!)/SUMPRODUCT(#REF!,#REF!)</f>
        <v>#REF!</v>
      </c>
      <c r="J13" s="47" t="e">
        <f>((1+(1+(1-#REF!)/SUMPRODUCT(#REF!,#REF!)/4)^4-1)^0.5-1)*2</f>
        <v>#REF!</v>
      </c>
      <c r="K13" s="80" t="e">
        <f ca="1">USDCOP*VLOOKUP(B13,#REF!,4,1)/VLOOKUP(B13,#REF!,4,1)-USDCOP</f>
        <v>#NAME?</v>
      </c>
      <c r="L13" s="47" t="e">
        <f ca="1">((K13+USDCOP)/USDCOP)^(365/(B13-As_of_date))-1</f>
        <v>#NAME?</v>
      </c>
      <c r="M13" s="81" t="e">
        <f ca="1">[4]!blp("CLSWR3 Garb Index","px_mid")/100</f>
        <v>#NAME?</v>
      </c>
      <c r="N13" s="54" t="e">
        <f ca="1">[4]!blp("CLSWUI3Y Garb Index","px_mid")/100</f>
        <v>#NAME?</v>
      </c>
      <c r="O13" s="82" t="e">
        <f ca="1">[4]!blp("CCOL1U3 Index","px_mid")/10000</f>
        <v>#NAME?</v>
      </c>
      <c r="P13" s="44" t="e">
        <f t="shared" ca="1" si="3"/>
        <v>#NAME?</v>
      </c>
      <c r="Q13" s="44" t="e">
        <f ca="1">[4]!blp("USSO3 Index","px_mid")/100</f>
        <v>#NAME?</v>
      </c>
      <c r="R13" s="49">
        <v>100</v>
      </c>
      <c r="S13" s="77"/>
      <c r="T13" s="50">
        <v>4.9149999999999999E-2</v>
      </c>
      <c r="U13" s="78">
        <v>5.0000000000000001E-3</v>
      </c>
      <c r="V13" s="7"/>
      <c r="W13" s="7"/>
      <c r="Y13" s="53">
        <v>3</v>
      </c>
      <c r="Z13" s="54" t="e">
        <f ca="1">[4]!blp($Z$2&amp;Y13&amp;" "&amp;$Z$3,$Z$4)/100</f>
        <v>#NAME?</v>
      </c>
      <c r="AA13" s="54" t="str">
        <f ca="1">IF(ISERROR([4]!blp($Z$2&amp;Y13&amp;" "&amp;$AA$3,$Z$4)/100)=TRUE,"",[4]!blp($Z$2&amp;Y13&amp;" "&amp;$AA$3,$Z$4)/100)</f>
        <v/>
      </c>
      <c r="AB13" s="55" t="e">
        <f ca="1">[4]!blp($Z$2&amp;Y13&amp;" "&amp;$AB$3,$AB$4)*100</f>
        <v>#NAME?</v>
      </c>
      <c r="AC13" s="55" t="str">
        <f ca="1">IF(ISERROR([4]!blp($Z$2&amp;Y13&amp;" "&amp;$AC$3,$AB$4)*100)=TRUE,"",[4]!blp($Z$2&amp;Y13&amp;" "&amp;$AC$3,$AB$4)*100)</f>
        <v/>
      </c>
      <c r="AD13" s="55" t="e">
        <f t="shared" ca="1" si="2"/>
        <v>#NAME?</v>
      </c>
      <c r="AE13" s="55" t="e">
        <f ca="1">[4]!blp($AE$2&amp;Y13&amp;" "&amp;$AE$3,$AE$4)*100</f>
        <v>#NAME?</v>
      </c>
      <c r="AF13" s="55" t="e">
        <f ca="1">[4]!blp($AF$2&amp;Y13&amp;" "&amp;$AF$3,$AF$4)</f>
        <v>#NAME?</v>
      </c>
      <c r="AG13" s="83" t="e">
        <f ca="1">[4]!blp($AG$2&amp;Y13&amp;" "&amp;$AG$3,$AG$4)*100</f>
        <v>#NAME?</v>
      </c>
      <c r="AH13" s="55" t="e">
        <f ca="1">[4]!blp($AH$2&amp;Y13&amp;" "&amp;$AH$3,$AH$4)*100</f>
        <v>#NAME?</v>
      </c>
    </row>
    <row r="14" spans="1:34 16384:16384" x14ac:dyDescent="0.25">
      <c r="A14" s="71" t="s">
        <v>51</v>
      </c>
      <c r="B14" s="72">
        <f ca="1">EDATE(B13,12)</f>
        <v>45368</v>
      </c>
      <c r="C14" s="73">
        <f t="shared" ca="1" si="0"/>
        <v>4.0583333333333336</v>
      </c>
      <c r="D14" s="44" t="e">
        <f t="shared" ca="1" si="1"/>
        <v>#NAME?</v>
      </c>
      <c r="E14" s="44" t="e">
        <f ca="1">[4]!blp("USSW4 Index","px_mid")/100</f>
        <v>#NAME?</v>
      </c>
      <c r="F14" s="54" t="e">
        <f ca="1">[4]!blp("USBC4 Index","px_mid")/10000</f>
        <v>#NAME?</v>
      </c>
      <c r="G14" s="54" t="e">
        <f ca="1">IF($G$2="MKT",[4]!blp("CLBSIB4 Index","px_mid")/10000,U14)</f>
        <v>#NAME?</v>
      </c>
      <c r="H14" s="54" t="e">
        <f ca="1">[4]!blp("CLSWU4 Garb Index","px_mid")/100</f>
        <v>#NAME?</v>
      </c>
      <c r="I14" s="47" t="e">
        <f>(1-#REF!)/SUMPRODUCT(#REF!,#REF!)</f>
        <v>#REF!</v>
      </c>
      <c r="J14" s="47" t="e">
        <f>((1+(1+(1-#REF!)/SUMPRODUCT(#REF!,#REF!)/4)^4-1)^0.5-1)*2</f>
        <v>#REF!</v>
      </c>
      <c r="K14" s="80" t="e">
        <f ca="1">USDCOP*VLOOKUP(B14,#REF!,4,1)/VLOOKUP(B14,#REF!,4,1)-USDCOP</f>
        <v>#NAME?</v>
      </c>
      <c r="L14" s="47" t="e">
        <f t="shared" ref="L14:L22" ca="1" si="4">((K14+USDCOP)/USDCOP)^(365/(B14-As_of_date))-1</f>
        <v>#NAME?</v>
      </c>
      <c r="M14" s="81" t="e">
        <f ca="1">[4]!blp("CLSWR4 Garb Index","px_mid")/100</f>
        <v>#NAME?</v>
      </c>
      <c r="N14" s="54" t="e">
        <f ca="1">[4]!blp("CLSWUI4Y Garb Index","px_mid")/100</f>
        <v>#NAME?</v>
      </c>
      <c r="O14" s="82" t="e">
        <f ca="1">[4]!blp("CCOL1U4 Index","px_mid")/10000</f>
        <v>#NAME?</v>
      </c>
      <c r="P14" s="44" t="e">
        <f t="shared" ca="1" si="3"/>
        <v>#NAME?</v>
      </c>
      <c r="Q14" s="44" t="e">
        <f ca="1">[4]!blp("USSO4 Index","px_mid")/100</f>
        <v>#NAME?</v>
      </c>
      <c r="R14" s="49">
        <v>100</v>
      </c>
      <c r="S14" s="77"/>
      <c r="T14" s="50">
        <v>5.1299999999999998E-2</v>
      </c>
      <c r="U14" s="78">
        <v>5.0000000000000001E-3</v>
      </c>
      <c r="V14" s="7"/>
      <c r="W14" s="7"/>
      <c r="Y14" s="53">
        <v>4</v>
      </c>
      <c r="Z14" s="54" t="e">
        <f ca="1">[4]!blp($Z$2&amp;Y14&amp;" "&amp;$Z$3,$Z$4)/100</f>
        <v>#NAME?</v>
      </c>
      <c r="AA14" s="54" t="str">
        <f ca="1">IF(ISERROR([4]!blp($Z$2&amp;Y14&amp;" "&amp;$AA$3,$Z$4)/100)=TRUE,"",[4]!blp($Z$2&amp;Y14&amp;" "&amp;$AA$3,$Z$4)/100)</f>
        <v/>
      </c>
      <c r="AB14" s="55" t="e">
        <f ca="1">[4]!blp($Z$2&amp;Y14&amp;" "&amp;$AB$3,$AB$4)*100</f>
        <v>#NAME?</v>
      </c>
      <c r="AC14" s="55" t="str">
        <f ca="1">IF(ISERROR([4]!blp($Z$2&amp;Y14&amp;" "&amp;$AC$3,$AB$4)*100)=TRUE,"",[4]!blp($Z$2&amp;Y14&amp;" "&amp;$AC$3,$AB$4)*100)</f>
        <v/>
      </c>
      <c r="AD14" s="55" t="e">
        <f t="shared" ca="1" si="2"/>
        <v>#NAME?</v>
      </c>
      <c r="AE14" s="55" t="e">
        <f ca="1">[4]!blp($AE$2&amp;Y14&amp;" "&amp;$AE$3,$AE$4)*100</f>
        <v>#NAME?</v>
      </c>
      <c r="AF14" s="55" t="e">
        <f ca="1">[4]!blp($AF$2&amp;Y14&amp;" "&amp;$AF$3,$AF$4)</f>
        <v>#NAME?</v>
      </c>
      <c r="AG14" s="83" t="e">
        <f ca="1">[4]!blp($AG$2&amp;Y14&amp;" "&amp;$AG$3,$AG$4)*100</f>
        <v>#NAME?</v>
      </c>
      <c r="AH14" s="55" t="e">
        <f ca="1">[4]!blp($AH$2&amp;Y14&amp;" "&amp;$AH$3,$AH$4)*100</f>
        <v>#NAME?</v>
      </c>
    </row>
    <row r="15" spans="1:34 16384:16384" x14ac:dyDescent="0.25">
      <c r="A15" s="71" t="s">
        <v>52</v>
      </c>
      <c r="B15" s="72">
        <f ca="1">EDATE(B14,12)</f>
        <v>45733</v>
      </c>
      <c r="C15" s="73">
        <f t="shared" ca="1" si="0"/>
        <v>5.072222222222222</v>
      </c>
      <c r="D15" s="44" t="e">
        <f t="shared" ca="1" si="1"/>
        <v>#NAME?</v>
      </c>
      <c r="E15" s="44" t="e">
        <f ca="1">[4]!blp("USSW5 Index","px_mid")/100</f>
        <v>#NAME?</v>
      </c>
      <c r="F15" s="54" t="e">
        <f ca="1">[4]!blp("USBC5 Index","px_mid")/10000</f>
        <v>#NAME?</v>
      </c>
      <c r="G15" s="54" t="e">
        <f ca="1">IF($G$2="MKT",[4]!blp("CLBSIB5 Index","px_mid")/10000,U15)</f>
        <v>#NAME?</v>
      </c>
      <c r="H15" s="54" t="e">
        <f ca="1">[4]!blp("CLSWU5 Garb Index","px_mid")/100</f>
        <v>#NAME?</v>
      </c>
      <c r="I15" s="47" t="e">
        <f>(1-#REF!)/SUMPRODUCT(#REF!,#REF!)</f>
        <v>#REF!</v>
      </c>
      <c r="J15" s="47" t="e">
        <f>((1+(1+(1-#REF!)/SUMPRODUCT(#REF!,#REF!)/4)^4-1)^0.5-1)*2</f>
        <v>#REF!</v>
      </c>
      <c r="K15" s="80" t="e">
        <f ca="1">USDCOP*VLOOKUP(B15,#REF!,4,1)/VLOOKUP(B15,#REF!,4,1)-USDCOP</f>
        <v>#NAME?</v>
      </c>
      <c r="L15" s="47" t="e">
        <f t="shared" ca="1" si="4"/>
        <v>#NAME?</v>
      </c>
      <c r="M15" s="81" t="e">
        <f ca="1">[4]!blp("CLSWR5 Garb Index","px_mid")/100</f>
        <v>#NAME?</v>
      </c>
      <c r="N15" s="54" t="e">
        <f ca="1">[4]!blp("CLSWUI5Y Garb Index","px_mid")/100</f>
        <v>#NAME?</v>
      </c>
      <c r="O15" s="82" t="e">
        <f ca="1">[4]!blp("CCOL1U5 Index","px_mid")/10000</f>
        <v>#NAME?</v>
      </c>
      <c r="P15" s="44" t="e">
        <f t="shared" ca="1" si="3"/>
        <v>#NAME?</v>
      </c>
      <c r="Q15" s="44" t="e">
        <f ca="1">[4]!blp("USSO5 Index","px_mid")/100</f>
        <v>#NAME?</v>
      </c>
      <c r="R15" s="49">
        <v>100</v>
      </c>
      <c r="S15" s="77"/>
      <c r="T15" s="50">
        <v>5.3800000000000001E-2</v>
      </c>
      <c r="U15" s="78">
        <v>5.0000000000000001E-3</v>
      </c>
      <c r="V15" s="7"/>
      <c r="W15" s="7"/>
      <c r="Y15" s="53">
        <v>5</v>
      </c>
      <c r="Z15" s="54" t="e">
        <f ca="1">[4]!blp($Z$2&amp;Y15&amp;" "&amp;$Z$3,$Z$4)/100</f>
        <v>#NAME?</v>
      </c>
      <c r="AA15" s="54" t="str">
        <f ca="1">IF(ISERROR([4]!blp($Z$2&amp;Y15&amp;" "&amp;$AA$3,$Z$4)/100)=TRUE,"",[4]!blp($Z$2&amp;Y15&amp;" "&amp;$AA$3,$Z$4)/100)</f>
        <v/>
      </c>
      <c r="AB15" s="55" t="e">
        <f ca="1">[4]!blp($Z$2&amp;Y15&amp;" "&amp;$AB$3,$AB$4)*100</f>
        <v>#NAME?</v>
      </c>
      <c r="AC15" s="55" t="str">
        <f ca="1">IF(ISERROR([4]!blp($Z$2&amp;Y15&amp;" "&amp;$AC$3,$AB$4)*100)=TRUE,"",[4]!blp($Z$2&amp;Y15&amp;" "&amp;$AC$3,$AB$4)*100)</f>
        <v/>
      </c>
      <c r="AD15" s="55" t="e">
        <f t="shared" ca="1" si="2"/>
        <v>#NAME?</v>
      </c>
      <c r="AE15" s="55" t="e">
        <f ca="1">[4]!blp($AE$2&amp;Y15&amp;" "&amp;$AE$3,$AE$4)*100</f>
        <v>#NAME?</v>
      </c>
      <c r="AF15" s="55" t="e">
        <f ca="1">[4]!blp($AF$2&amp;Y15&amp;" "&amp;$AF$3,$AF$4)</f>
        <v>#NAME?</v>
      </c>
      <c r="AG15" s="83" t="e">
        <f ca="1">[4]!blp($AG$2&amp;Y15&amp;" "&amp;$AG$3,$AG$4)*100</f>
        <v>#NAME?</v>
      </c>
      <c r="AH15" s="55" t="e">
        <f ca="1">[4]!blp($AH$2&amp;Y15&amp;" "&amp;$AH$3,$AH$4)*100</f>
        <v>#NAME?</v>
      </c>
    </row>
    <row r="16" spans="1:34 16384:16384" ht="14.25" customHeight="1" x14ac:dyDescent="0.25">
      <c r="A16" s="71" t="s">
        <v>53</v>
      </c>
      <c r="B16" s="72">
        <f ca="1">EDATE(B15,12)</f>
        <v>46098</v>
      </c>
      <c r="C16" s="73">
        <f t="shared" ca="1" si="0"/>
        <v>6.0861111111111112</v>
      </c>
      <c r="D16" s="44" t="e">
        <f t="shared" ca="1" si="1"/>
        <v>#NAME?</v>
      </c>
      <c r="E16" s="44" t="e">
        <f ca="1">[4]!blp("USSW6 Index","px_mid")/100</f>
        <v>#NAME?</v>
      </c>
      <c r="F16" s="54" t="e">
        <f ca="1">[4]!blp("USBC6 Index","px_mid")/10000</f>
        <v>#NAME?</v>
      </c>
      <c r="G16" s="54" t="e">
        <f ca="1">IF($G$2="MKT",[4]!blp("CLBSIB6 Index","px_mid")/10000,U16)</f>
        <v>#NAME?</v>
      </c>
      <c r="H16" s="54" t="e">
        <f ca="1">[4]!blp("CLSWU6 Garb Index","px_mid")/100</f>
        <v>#NAME?</v>
      </c>
      <c r="I16" s="47" t="e">
        <f>(1-#REF!)/SUMPRODUCT(#REF!,#REF!)</f>
        <v>#REF!</v>
      </c>
      <c r="J16" s="47" t="e">
        <f>((1+(1+(1-#REF!)/SUMPRODUCT(#REF!,#REF!)/4)^4-1)^0.5-1)*2</f>
        <v>#REF!</v>
      </c>
      <c r="K16" s="80" t="e">
        <f ca="1">USDCOP*VLOOKUP(B16,#REF!,4,1)/VLOOKUP(B16,#REF!,4,1)-USDCOP</f>
        <v>#NAME?</v>
      </c>
      <c r="L16" s="47" t="e">
        <f t="shared" ca="1" si="4"/>
        <v>#NAME?</v>
      </c>
      <c r="M16" s="84"/>
      <c r="N16" s="54" t="e">
        <f ca="1">[4]!blp("CLSWUI6Y Garb Index","px_mid")/100</f>
        <v>#NAME?</v>
      </c>
      <c r="O16" s="46"/>
      <c r="P16" s="44" t="e">
        <f t="shared" ca="1" si="3"/>
        <v>#NAME?</v>
      </c>
      <c r="Q16" s="44" t="e">
        <f ca="1">[4]!blp("USSO6 Index","px_mid")/100</f>
        <v>#NAME?</v>
      </c>
      <c r="R16" s="49">
        <v>100</v>
      </c>
      <c r="S16" s="77"/>
      <c r="T16" s="50">
        <v>5.6000000000000001E-2</v>
      </c>
      <c r="U16" s="78">
        <v>5.0000000000000001E-3</v>
      </c>
      <c r="V16" s="7"/>
      <c r="W16" s="7"/>
      <c r="Y16" s="53">
        <v>6</v>
      </c>
      <c r="Z16" s="54" t="e">
        <f ca="1">[4]!blp($Z$2&amp;Y16&amp;" "&amp;$Z$3,$Z$4)/100</f>
        <v>#NAME?</v>
      </c>
      <c r="AA16" s="54" t="str">
        <f ca="1">IF(ISERROR([4]!blp($Z$2&amp;Y16&amp;" "&amp;$AA$3,$Z$4)/100)=TRUE,"",[4]!blp($Z$2&amp;Y16&amp;" "&amp;$AA$3,$Z$4)/100)</f>
        <v/>
      </c>
      <c r="AB16" s="55" t="e">
        <f ca="1">[4]!blp($Z$2&amp;Y16&amp;" "&amp;$AB$3,$AB$4)*100</f>
        <v>#NAME?</v>
      </c>
      <c r="AC16" s="55" t="str">
        <f ca="1">IF(ISERROR([4]!blp($Z$2&amp;Y16&amp;" "&amp;$AC$3,$AB$4)*100)=TRUE,"",[4]!blp($Z$2&amp;Y16&amp;" "&amp;$AC$3,$AB$4)*100)</f>
        <v/>
      </c>
      <c r="AD16" s="55" t="e">
        <f t="shared" ca="1" si="2"/>
        <v>#NAME?</v>
      </c>
      <c r="AE16" s="55" t="e">
        <f ca="1">[4]!blp($AE$2&amp;Y16&amp;" "&amp;$AE$3,$AE$4)*100</f>
        <v>#NAME?</v>
      </c>
      <c r="AF16" s="55" t="e">
        <f ca="1">[4]!blp($AF$2&amp;Y16&amp;" "&amp;$AF$3,$AF$4)</f>
        <v>#NAME?</v>
      </c>
      <c r="AG16" s="83" t="e">
        <f ca="1">[4]!blp($AG$2&amp;Y16&amp;" "&amp;$AG$3,$AG$4)*100</f>
        <v>#NAME?</v>
      </c>
      <c r="AH16" s="85"/>
    </row>
    <row r="17" spans="1:34" x14ac:dyDescent="0.25">
      <c r="A17" s="71" t="s">
        <v>54</v>
      </c>
      <c r="B17" s="72">
        <f ca="1">EDATE(B15,24)</f>
        <v>46463</v>
      </c>
      <c r="C17" s="73">
        <f t="shared" ca="1" si="0"/>
        <v>7.1</v>
      </c>
      <c r="D17" s="44" t="e">
        <f t="shared" ca="1" si="1"/>
        <v>#NAME?</v>
      </c>
      <c r="E17" s="44" t="e">
        <f ca="1">[4]!blp("USSW7 Index","px_mid")/100</f>
        <v>#NAME?</v>
      </c>
      <c r="F17" s="54" t="e">
        <f ca="1">[4]!blp("USBC7 Index","px_mid")/10000</f>
        <v>#NAME?</v>
      </c>
      <c r="G17" s="54" t="e">
        <f ca="1">IF($G$2="MKT",[4]!blp("CLBSIB7 Index","px_mid")/10000,U17)</f>
        <v>#NAME?</v>
      </c>
      <c r="H17" s="54" t="e">
        <f ca="1">[4]!blp("CLSWU7 Garb Index","px_mid")/100</f>
        <v>#NAME?</v>
      </c>
      <c r="I17" s="47" t="e">
        <f>(1-#REF!)/SUMPRODUCT(#REF!,#REF!)</f>
        <v>#REF!</v>
      </c>
      <c r="J17" s="47" t="e">
        <f>((1+(1+(1-#REF!)/SUMPRODUCT(#REF!,#REF!)/4)^4-1)^0.5-1)*2</f>
        <v>#REF!</v>
      </c>
      <c r="K17" s="80" t="e">
        <f ca="1">USDCOP*VLOOKUP(B17,#REF!,4,1)/VLOOKUP(B17,#REF!,4,1)-USDCOP</f>
        <v>#NAME?</v>
      </c>
      <c r="L17" s="47" t="e">
        <f t="shared" ca="1" si="4"/>
        <v>#NAME?</v>
      </c>
      <c r="M17" s="81" t="e">
        <f ca="1">[4]!blp("CLSWR7 Garb Index","px_mid")/100</f>
        <v>#NAME?</v>
      </c>
      <c r="N17" s="54" t="e">
        <f ca="1">[4]!blp("CLSWUI7Y Garb Index","px_mid")/100</f>
        <v>#NAME?</v>
      </c>
      <c r="O17" s="82" t="e">
        <f ca="1">[4]!blp("CCOL1U7 Index","px_mid")/10000</f>
        <v>#NAME?</v>
      </c>
      <c r="P17" s="44" t="e">
        <f t="shared" ca="1" si="3"/>
        <v>#NAME?</v>
      </c>
      <c r="Q17" s="44" t="e">
        <f ca="1">[4]!blp("USSO7 Index","px_mid")/100</f>
        <v>#NAME?</v>
      </c>
      <c r="R17" s="49">
        <v>100</v>
      </c>
      <c r="S17" s="77"/>
      <c r="T17" s="50">
        <v>5.8099999999999999E-2</v>
      </c>
      <c r="U17" s="78">
        <v>5.0000000000000001E-3</v>
      </c>
      <c r="V17" s="7"/>
      <c r="W17" s="7"/>
      <c r="Y17" s="53">
        <v>7</v>
      </c>
      <c r="Z17" s="54" t="e">
        <f ca="1">[4]!blp($Z$2&amp;Y17&amp;" "&amp;$Z$3,$Z$4)/100</f>
        <v>#NAME?</v>
      </c>
      <c r="AA17" s="54" t="str">
        <f ca="1">IF(ISERROR([4]!blp($Z$2&amp;Y17&amp;" "&amp;$AA$3,$Z$4)/100)=TRUE,"",[4]!blp($Z$2&amp;Y17&amp;" "&amp;$AA$3,$Z$4)/100)</f>
        <v/>
      </c>
      <c r="AB17" s="55" t="e">
        <f ca="1">[4]!blp($Z$2&amp;Y17&amp;" "&amp;$AB$3,$AB$4)*100</f>
        <v>#NAME?</v>
      </c>
      <c r="AC17" s="55" t="str">
        <f ca="1">IF(ISERROR([4]!blp($Z$2&amp;Y17&amp;" "&amp;$AC$3,$AB$4)*100)=TRUE,"",[4]!blp($Z$2&amp;Y17&amp;" "&amp;$AC$3,$AB$4)*100)</f>
        <v/>
      </c>
      <c r="AD17" s="55" t="e">
        <f t="shared" ca="1" si="2"/>
        <v>#NAME?</v>
      </c>
      <c r="AE17" s="55" t="e">
        <f ca="1">[4]!blp($AE$2&amp;Y17&amp;" "&amp;$AE$3,$AE$4)*100</f>
        <v>#NAME?</v>
      </c>
      <c r="AF17" s="55" t="e">
        <f ca="1">[4]!blp($AF$2&amp;Y17&amp;" "&amp;$AF$3,$AF$4)</f>
        <v>#NAME?</v>
      </c>
      <c r="AG17" s="83" t="e">
        <f ca="1">[4]!blp($AG$2&amp;Y17&amp;" "&amp;$AG$3,$AG$4)*100</f>
        <v>#NAME?</v>
      </c>
      <c r="AH17" s="55" t="e">
        <f ca="1">[4]!blp($AH$2&amp;Y17&amp;" "&amp;$AH$3,$AH$4)*100</f>
        <v>#NAME?</v>
      </c>
    </row>
    <row r="18" spans="1:34" x14ac:dyDescent="0.25">
      <c r="A18" s="71" t="s">
        <v>55</v>
      </c>
      <c r="B18" s="72">
        <f ca="1">EDATE(B17,12)</f>
        <v>46829</v>
      </c>
      <c r="C18" s="73">
        <f t="shared" ca="1" si="0"/>
        <v>8.1166666666666671</v>
      </c>
      <c r="D18" s="44" t="e">
        <f t="shared" ca="1" si="1"/>
        <v>#NAME?</v>
      </c>
      <c r="E18" s="44" t="e">
        <f ca="1">[4]!blp("USSW8 Index","px_mid")/100</f>
        <v>#NAME?</v>
      </c>
      <c r="F18" s="54" t="e">
        <f ca="1">[4]!blp("USBC8 Index","px_mid")/10000</f>
        <v>#NAME?</v>
      </c>
      <c r="G18" s="54" t="e">
        <f ca="1">IF($G$2="MKT",[4]!blp("CLBSIB8 Index","px_mid")/10000,U18)</f>
        <v>#NAME?</v>
      </c>
      <c r="H18" s="54" t="e">
        <f ca="1">[4]!blp("CLSWU8 Garb Index","px_mid")/100</f>
        <v>#NAME?</v>
      </c>
      <c r="I18" s="47" t="e">
        <f>(1-#REF!)/SUMPRODUCT(#REF!,#REF!)</f>
        <v>#REF!</v>
      </c>
      <c r="J18" s="47" t="e">
        <f>((1+(1+(1-#REF!)/SUMPRODUCT(#REF!,#REF!)/4)^4-1)^0.5-1)*2</f>
        <v>#REF!</v>
      </c>
      <c r="K18" s="80" t="e">
        <f ca="1">USDCOP*VLOOKUP(B18,#REF!,4,1)/VLOOKUP(B18,#REF!,4,1)-USDCOP</f>
        <v>#NAME?</v>
      </c>
      <c r="L18" s="47" t="e">
        <f t="shared" ca="1" si="4"/>
        <v>#NAME?</v>
      </c>
      <c r="M18" s="84"/>
      <c r="N18" s="54" t="e">
        <f ca="1">[4]!blp("CLSWUI8Y Garb Index","px_mid")/100</f>
        <v>#NAME?</v>
      </c>
      <c r="O18" s="46"/>
      <c r="P18" s="44" t="e">
        <f t="shared" ca="1" si="3"/>
        <v>#NAME?</v>
      </c>
      <c r="Q18" s="44" t="e">
        <f ca="1">[4]!blp("USSO8 Index","px_mid")/100</f>
        <v>#NAME?</v>
      </c>
      <c r="R18" s="49">
        <v>100</v>
      </c>
      <c r="S18" s="77"/>
      <c r="T18" s="50">
        <v>6.0400000000000002E-2</v>
      </c>
      <c r="U18" s="78">
        <v>5.0000000000000001E-3</v>
      </c>
      <c r="V18" s="7"/>
      <c r="W18" s="7"/>
      <c r="Y18" s="53">
        <v>8</v>
      </c>
      <c r="Z18" s="54" t="e">
        <f ca="1">[4]!blp($Z$2&amp;Y18&amp;" "&amp;$Z$3,$Z$4)/100</f>
        <v>#NAME?</v>
      </c>
      <c r="AA18" s="54" t="str">
        <f ca="1">IF(ISERROR([4]!blp($Z$2&amp;Y18&amp;" "&amp;$AA$3,$Z$4)/100)=TRUE,"",[4]!blp($Z$2&amp;Y18&amp;" "&amp;$AA$3,$Z$4)/100)</f>
        <v/>
      </c>
      <c r="AB18" s="55" t="e">
        <f ca="1">[4]!blp($Z$2&amp;Y18&amp;" "&amp;$AB$3,$AB$4)*100</f>
        <v>#NAME?</v>
      </c>
      <c r="AC18" s="55" t="str">
        <f ca="1">IF(ISERROR([4]!blp($Z$2&amp;Y18&amp;" "&amp;$AC$3,$AB$4)*100)=TRUE,"",[4]!blp($Z$2&amp;Y18&amp;" "&amp;$AC$3,$AB$4)*100)</f>
        <v/>
      </c>
      <c r="AD18" s="55" t="e">
        <f t="shared" ca="1" si="2"/>
        <v>#NAME?</v>
      </c>
      <c r="AE18" s="55" t="e">
        <f ca="1">[4]!blp($AE$2&amp;Y18&amp;" "&amp;$AE$3,$AE$4)*100</f>
        <v>#NAME?</v>
      </c>
      <c r="AF18" s="55" t="e">
        <f ca="1">[4]!blp($AF$2&amp;Y18&amp;" "&amp;$AF$3,$AF$4)</f>
        <v>#NAME?</v>
      </c>
      <c r="AG18" s="83" t="e">
        <f ca="1">[4]!blp($AG$2&amp;Y18&amp;" "&amp;$AG$3,$AG$4)*100</f>
        <v>#NAME?</v>
      </c>
      <c r="AH18" s="85"/>
    </row>
    <row r="19" spans="1:34" x14ac:dyDescent="0.25">
      <c r="A19" s="71" t="s">
        <v>56</v>
      </c>
      <c r="B19" s="72">
        <f ca="1">EDATE(B18,12)</f>
        <v>47194</v>
      </c>
      <c r="C19" s="73">
        <f t="shared" ca="1" si="0"/>
        <v>9.1305555555555564</v>
      </c>
      <c r="D19" s="44" t="e">
        <f t="shared" ca="1" si="1"/>
        <v>#NAME?</v>
      </c>
      <c r="E19" s="44" t="e">
        <f ca="1">[4]!blp("USSW9 Index","px_mid")/100</f>
        <v>#NAME?</v>
      </c>
      <c r="F19" s="54" t="e">
        <f ca="1">[4]!blp("USBC9 Index","px_mid")/10000</f>
        <v>#NAME?</v>
      </c>
      <c r="G19" s="54" t="e">
        <f ca="1">IF($G$2="MKT",[4]!blp("CLBSIB9 Index","px_mid")/10000,U19)</f>
        <v>#NAME?</v>
      </c>
      <c r="H19" s="54" t="e">
        <f ca="1">[4]!blp("CLSWU9 Garb Index","px_mid")/100</f>
        <v>#NAME?</v>
      </c>
      <c r="I19" s="47" t="e">
        <f>(1-#REF!)/SUMPRODUCT(#REF!,#REF!)</f>
        <v>#REF!</v>
      </c>
      <c r="J19" s="47" t="e">
        <f>((1+(1+(1-#REF!)/SUMPRODUCT(#REF!,#REF!)/4)^4-1)^0.5-1)*2</f>
        <v>#REF!</v>
      </c>
      <c r="K19" s="80" t="e">
        <f ca="1">USDCOP*VLOOKUP(B19,#REF!,4,1)/VLOOKUP(B19,#REF!,4,1)-USDCOP</f>
        <v>#NAME?</v>
      </c>
      <c r="L19" s="47" t="e">
        <f t="shared" ca="1" si="4"/>
        <v>#NAME?</v>
      </c>
      <c r="M19" s="84"/>
      <c r="N19" s="54" t="e">
        <f ca="1">[4]!blp("CLSWUI9Y Garb Index","px_mid")/100</f>
        <v>#NAME?</v>
      </c>
      <c r="O19" s="46"/>
      <c r="P19" s="44" t="e">
        <f t="shared" ca="1" si="3"/>
        <v>#NAME?</v>
      </c>
      <c r="Q19" s="44" t="e">
        <f ca="1">[4]!blp("USSO9 Index","px_mid")/100</f>
        <v>#NAME?</v>
      </c>
      <c r="R19" s="49">
        <v>100</v>
      </c>
      <c r="S19" s="77"/>
      <c r="T19" s="50">
        <v>6.1399999999999996E-2</v>
      </c>
      <c r="U19" s="78">
        <v>5.0000000000000001E-3</v>
      </c>
      <c r="V19" s="7"/>
      <c r="W19" s="7"/>
      <c r="Y19" s="53">
        <v>9</v>
      </c>
      <c r="Z19" s="54" t="e">
        <f ca="1">[4]!blp($Z$2&amp;Y19&amp;" "&amp;$Z$3,$Z$4)/100</f>
        <v>#NAME?</v>
      </c>
      <c r="AA19" s="54" t="str">
        <f ca="1">IF(ISERROR([4]!blp($Z$2&amp;Y19&amp;" "&amp;$AA$3,$Z$4)/100)=TRUE,"",[4]!blp($Z$2&amp;Y19&amp;" "&amp;$AA$3,$Z$4)/100)</f>
        <v/>
      </c>
      <c r="AB19" s="55" t="e">
        <f ca="1">[4]!blp($Z$2&amp;Y19&amp;" "&amp;$AB$3,$AB$4)*100</f>
        <v>#NAME?</v>
      </c>
      <c r="AC19" s="55" t="str">
        <f ca="1">IF(ISERROR([4]!blp($Z$2&amp;Y19&amp;" "&amp;$AC$3,$AB$4)*100)=TRUE,"",[4]!blp($Z$2&amp;Y19&amp;" "&amp;$AC$3,$AB$4)*100)</f>
        <v/>
      </c>
      <c r="AD19" s="55" t="e">
        <f t="shared" ca="1" si="2"/>
        <v>#NAME?</v>
      </c>
      <c r="AE19" s="55" t="e">
        <f ca="1">[4]!blp($AE$2&amp;Y19&amp;" "&amp;$AE$3,$AE$4)*100</f>
        <v>#NAME?</v>
      </c>
      <c r="AF19" s="55" t="e">
        <f ca="1">[4]!blp($AF$2&amp;Y19&amp;" "&amp;$AF$3,$AF$4)</f>
        <v>#NAME?</v>
      </c>
      <c r="AG19" s="83" t="e">
        <f ca="1">[4]!blp($AG$2&amp;Y19&amp;" "&amp;$AG$3,$AG$4)*100</f>
        <v>#NAME?</v>
      </c>
      <c r="AH19" s="85"/>
    </row>
    <row r="20" spans="1:34" x14ac:dyDescent="0.25">
      <c r="A20" s="71" t="s">
        <v>57</v>
      </c>
      <c r="B20" s="72">
        <f ca="1">EDATE(B18,24)</f>
        <v>47559</v>
      </c>
      <c r="C20" s="73">
        <f t="shared" ca="1" si="0"/>
        <v>10.144444444444444</v>
      </c>
      <c r="D20" s="44" t="e">
        <f t="shared" ca="1" si="1"/>
        <v>#NAME?</v>
      </c>
      <c r="E20" s="44" t="e">
        <f ca="1">[4]!blp("USSW10 Index","px_mid")/100</f>
        <v>#NAME?</v>
      </c>
      <c r="F20" s="54" t="e">
        <f ca="1">[4]!blp("USBC10 Index","px_mid")/10000</f>
        <v>#NAME?</v>
      </c>
      <c r="G20" s="54" t="e">
        <f ca="1">IF($G$2="MKT",[4]!blp("CLBSIB10 Index","px_mid")/10000,U20)</f>
        <v>#NAME?</v>
      </c>
      <c r="H20" s="54" t="e">
        <f ca="1">[4]!blp("CLSWU10 Garb Index","px_mid")/100</f>
        <v>#NAME?</v>
      </c>
      <c r="I20" s="47" t="e">
        <f>(1-#REF!)/SUMPRODUCT(#REF!,#REF!)</f>
        <v>#REF!</v>
      </c>
      <c r="J20" s="47" t="e">
        <f>((1+(1+(1-#REF!)/SUMPRODUCT(#REF!,#REF!)/4)^4-1)^0.5-1)*2</f>
        <v>#REF!</v>
      </c>
      <c r="K20" s="80" t="e">
        <f ca="1">USDCOP*VLOOKUP(B20,#REF!,4,1)/VLOOKUP(B20,#REF!,4,1)-USDCOP</f>
        <v>#NAME?</v>
      </c>
      <c r="L20" s="47" t="e">
        <f t="shared" ca="1" si="4"/>
        <v>#NAME?</v>
      </c>
      <c r="M20" s="81" t="e">
        <f ca="1">[4]!blp("CLSWR10 Garb Index","px_mid")/100</f>
        <v>#NAME?</v>
      </c>
      <c r="N20" s="54" t="e">
        <f ca="1">[4]!blp("CLSWU10Y Garb Index","px_mid")/100</f>
        <v>#NAME?</v>
      </c>
      <c r="O20" s="82" t="e">
        <f ca="1">[4]!blp("CCOL1U10 Index","px_mid")/10000</f>
        <v>#NAME?</v>
      </c>
      <c r="P20" s="44" t="e">
        <f t="shared" ca="1" si="3"/>
        <v>#NAME?</v>
      </c>
      <c r="Q20" s="44" t="e">
        <f ca="1">[4]!blp("USSO10 Index","px_mid")/100</f>
        <v>#NAME?</v>
      </c>
      <c r="R20" s="49">
        <v>100</v>
      </c>
      <c r="S20" s="77"/>
      <c r="T20" s="50">
        <v>6.3600000000000004E-2</v>
      </c>
      <c r="U20" s="78">
        <v>5.0000000000000001E-3</v>
      </c>
      <c r="V20" s="7"/>
      <c r="W20" s="7"/>
      <c r="Y20" s="53">
        <v>10</v>
      </c>
      <c r="Z20" s="54" t="e">
        <f ca="1">[4]!blp($Z$2&amp;Y20&amp;" "&amp;$Z$3,$Z$4)/100</f>
        <v>#NAME?</v>
      </c>
      <c r="AA20" s="54" t="str">
        <f ca="1">IF(ISERROR([4]!blp($Z$2&amp;Y20&amp;" "&amp;$AA$3,$Z$4)/100)=TRUE,"",[4]!blp($Z$2&amp;Y20&amp;" "&amp;$AA$3,$Z$4)/100)</f>
        <v/>
      </c>
      <c r="AB20" s="55" t="e">
        <f ca="1">[4]!blp($Z$2&amp;Y20&amp;" "&amp;$AB$3,$AB$4)*100</f>
        <v>#NAME?</v>
      </c>
      <c r="AC20" s="55" t="str">
        <f ca="1">IF(ISERROR([4]!blp($Z$2&amp;Y20&amp;" "&amp;$AC$3,$AB$4)*100)=TRUE,"",[4]!blp($Z$2&amp;Y20&amp;" "&amp;$AC$3,$AB$4)*100)</f>
        <v/>
      </c>
      <c r="AD20" s="55" t="e">
        <f t="shared" ca="1" si="2"/>
        <v>#NAME?</v>
      </c>
      <c r="AE20" s="55" t="e">
        <f ca="1">[4]!blp($AE$2&amp;Y20&amp;" "&amp;$AE$3,$AE$4)*100</f>
        <v>#NAME?</v>
      </c>
      <c r="AF20" s="55" t="e">
        <f ca="1">[4]!blp($AF$2&amp;Y20&amp;" "&amp;$AF$3,$AF$4)</f>
        <v>#NAME?</v>
      </c>
      <c r="AG20" s="83" t="e">
        <f ca="1">[4]!blp($AG$2&amp;Y20&amp;" "&amp;$AG$3,$AG$4)*100</f>
        <v>#NAME?</v>
      </c>
      <c r="AH20" s="55" t="e">
        <f ca="1">[4]!blp($AH$2&amp;Y20&amp;" "&amp;$AH$3,$AH$4)*100</f>
        <v>#NAME?</v>
      </c>
    </row>
    <row r="21" spans="1:34" x14ac:dyDescent="0.25">
      <c r="A21" s="71" t="s">
        <v>58</v>
      </c>
      <c r="B21" s="72">
        <f ca="1">EDATE(B20,24)</f>
        <v>48290</v>
      </c>
      <c r="C21" s="73">
        <f t="shared" ca="1" si="0"/>
        <v>12.175000000000001</v>
      </c>
      <c r="D21" s="44" t="e">
        <f t="shared" ca="1" si="1"/>
        <v>#NAME?</v>
      </c>
      <c r="E21" s="44" t="e">
        <f ca="1">[4]!blp("USSW12 Index","px_mid")/100</f>
        <v>#NAME?</v>
      </c>
      <c r="F21" s="54" t="e">
        <f ca="1">[4]!blp("USBC12 Index","px_mid")/10000</f>
        <v>#NAME?</v>
      </c>
      <c r="G21" s="54" t="e">
        <f ca="1">IF($G$2="MKT",[4]!blp("CLBSIB12 Index","px_mid")/10000,U21)</f>
        <v>#NAME?</v>
      </c>
      <c r="H21" s="54" t="e">
        <f ca="1">[4]!blp("CLSWU12 Garb Index","px_mid")/100</f>
        <v>#NAME?</v>
      </c>
      <c r="I21" s="47" t="e">
        <f>(1-#REF!)/SUMPRODUCT(#REF!,#REF!)</f>
        <v>#REF!</v>
      </c>
      <c r="J21" s="47" t="e">
        <f>((1+(1+(1-#REF!)/SUMPRODUCT(#REF!,#REF!)/4)^4-1)^0.5-1)*2</f>
        <v>#REF!</v>
      </c>
      <c r="K21" s="80" t="e">
        <f ca="1">USDCOP*VLOOKUP(B21,#REF!,4,1)/VLOOKUP(B21,#REF!,4,1)-USDCOP</f>
        <v>#NAME?</v>
      </c>
      <c r="L21" s="47" t="e">
        <f t="shared" ca="1" si="4"/>
        <v>#NAME?</v>
      </c>
      <c r="M21" s="81" t="e">
        <f ca="1">[4]!blp("CLSWR12 Garb Index","px_mid")/100</f>
        <v>#NAME?</v>
      </c>
      <c r="N21" s="54" t="e">
        <f ca="1">+M21</f>
        <v>#NAME?</v>
      </c>
      <c r="O21" s="46"/>
      <c r="P21" s="44" t="e">
        <f t="shared" ca="1" si="3"/>
        <v>#NAME?</v>
      </c>
      <c r="Q21" s="44" t="e">
        <f ca="1">[4]!blp("USSO12 Index","px_mid")/100</f>
        <v>#NAME?</v>
      </c>
      <c r="R21" s="49">
        <v>100</v>
      </c>
      <c r="S21" s="77"/>
      <c r="T21" s="50">
        <v>6.4000000000000001E-2</v>
      </c>
      <c r="U21" s="78">
        <v>5.0000000000000001E-3</v>
      </c>
      <c r="V21" s="7"/>
      <c r="W21" s="7"/>
      <c r="Y21" s="53">
        <v>12</v>
      </c>
      <c r="Z21" s="54" t="e">
        <f ca="1">[4]!blp($Z$2&amp;Y21&amp;" "&amp;$Z$3,$Z$4)/100</f>
        <v>#NAME?</v>
      </c>
      <c r="AA21" s="54" t="str">
        <f ca="1">IF(ISERROR([4]!blp($Z$2&amp;Y21&amp;" "&amp;$AA$3,$Z$4)/100)=TRUE,"",[4]!blp($Z$2&amp;Y21&amp;" "&amp;$AA$3,$Z$4)/100)</f>
        <v/>
      </c>
      <c r="AB21" s="55" t="e">
        <f ca="1">[4]!blp($Z$2&amp;Y21&amp;" "&amp;$AB$3,$AB$4)*100</f>
        <v>#NAME?</v>
      </c>
      <c r="AC21" s="55" t="str">
        <f ca="1">IF(ISERROR([4]!blp($Z$2&amp;Y21&amp;" "&amp;$AC$3,$AB$4)*100)=TRUE,"",[4]!blp($Z$2&amp;Y21&amp;" "&amp;$AC$3,$AB$4)*100)</f>
        <v/>
      </c>
      <c r="AD21" s="55" t="e">
        <f t="shared" ca="1" si="2"/>
        <v>#NAME?</v>
      </c>
      <c r="AE21" s="55" t="e">
        <f ca="1">[4]!blp($AE$2&amp;Y21&amp;" "&amp;$AE$3,$AE$4)*100</f>
        <v>#NAME?</v>
      </c>
      <c r="AF21" s="55" t="e">
        <f ca="1">[4]!blp($AF$2&amp;Y21&amp;" "&amp;$AF$3,$AF$4)</f>
        <v>#NAME?</v>
      </c>
      <c r="AG21" s="83" t="e">
        <f ca="1">[4]!blp($AG$2&amp;Y21&amp;" "&amp;$AG$3,$AG$4)*100</f>
        <v>#NAME?</v>
      </c>
      <c r="AH21" s="55" t="e">
        <f ca="1">[4]!blp($AH$2&amp;Y21&amp;" "&amp;$AH$3,$AH$4)*100</f>
        <v>#NAME?</v>
      </c>
    </row>
    <row r="22" spans="1:34" ht="15.75" thickBot="1" x14ac:dyDescent="0.3">
      <c r="A22" s="71" t="s">
        <v>59</v>
      </c>
      <c r="B22" s="86">
        <f ca="1">EDATE(B21,36)</f>
        <v>49385</v>
      </c>
      <c r="C22" s="87">
        <f t="shared" ca="1" si="0"/>
        <v>15.216666666666667</v>
      </c>
      <c r="D22" s="88" t="e">
        <f t="shared" ca="1" si="1"/>
        <v>#NAME?</v>
      </c>
      <c r="E22" s="88" t="e">
        <f ca="1">[4]!blp("USSW15 Index","px_mid")/100</f>
        <v>#NAME?</v>
      </c>
      <c r="F22" s="70" t="e">
        <f ca="1">[4]!blp("USBC15 Index","px_mid")/10000</f>
        <v>#NAME?</v>
      </c>
      <c r="G22" s="70" t="e">
        <f ca="1">IF($G$2="MKT",[4]!blp("CLBSIB15 Index","px_mid")/10000,U22)</f>
        <v>#NAME?</v>
      </c>
      <c r="H22" s="70" t="e">
        <f ca="1">[4]!blp("CLSWU15 Garb Index","px_mid")/100</f>
        <v>#NAME?</v>
      </c>
      <c r="I22" s="64" t="e">
        <f>(1-#REF!)/SUMPRODUCT(#REF!,#REF!)</f>
        <v>#REF!</v>
      </c>
      <c r="J22" s="64" t="e">
        <f>((1+(1+(1-#REF!)/SUMPRODUCT(#REF!,#REF!)/4)^4-1)^0.5-1)*2</f>
        <v>#REF!</v>
      </c>
      <c r="K22" s="89" t="e">
        <f ca="1">USDCOP*VLOOKUP(B22,#REF!,4,1)/VLOOKUP(B22,#REF!,4,1)-USDCOP</f>
        <v>#NAME?</v>
      </c>
      <c r="L22" s="64" t="e">
        <f t="shared" ca="1" si="4"/>
        <v>#NAME?</v>
      </c>
      <c r="M22" s="90" t="e">
        <f ca="1">[4]!blp("CLSWR15 Garb Index","px_mid")/100</f>
        <v>#NAME?</v>
      </c>
      <c r="N22" s="70" t="e">
        <f ca="1">+M22</f>
        <v>#NAME?</v>
      </c>
      <c r="O22" s="91"/>
      <c r="P22" s="88" t="e">
        <f t="shared" ca="1" si="3"/>
        <v>#NAME?</v>
      </c>
      <c r="Q22" s="88" t="e">
        <f ca="1">[4]!blp("USSO15 Index","px_mid")/100</f>
        <v>#NAME?</v>
      </c>
      <c r="R22" s="92">
        <v>100</v>
      </c>
      <c r="S22" s="77"/>
      <c r="T22" s="93">
        <v>6.54E-2</v>
      </c>
      <c r="U22" s="94">
        <v>5.0000000000000001E-3</v>
      </c>
      <c r="V22" s="7"/>
      <c r="W22" s="7"/>
      <c r="Y22" s="95">
        <v>15</v>
      </c>
      <c r="Z22" s="70" t="e">
        <f ca="1">[4]!blp($Z$2&amp;Y22&amp;" "&amp;$Z$3,$Z$4)/100</f>
        <v>#NAME?</v>
      </c>
      <c r="AA22" s="70" t="str">
        <f ca="1">IF(ISERROR([4]!blp($Z$2&amp;Y22&amp;" "&amp;$AA$3,$Z$4)/100)=TRUE,"",[4]!blp($Z$2&amp;Y22&amp;" "&amp;$AA$3,$Z$4)/100)</f>
        <v/>
      </c>
      <c r="AB22" s="69" t="e">
        <f ca="1">[4]!blp($Z$2&amp;Y22&amp;" "&amp;$AB$3,$AB$4)*100</f>
        <v>#NAME?</v>
      </c>
      <c r="AC22" s="69" t="str">
        <f ca="1">IF(ISERROR([4]!blp($Z$2&amp;Y22&amp;" "&amp;$AC$3,$AB$4)*100)=TRUE,"",[4]!blp($Z$2&amp;Y22&amp;" "&amp;$AC$3,$AB$4)*100)</f>
        <v/>
      </c>
      <c r="AD22" s="69" t="e">
        <f t="shared" ref="AD22" ca="1" si="5">AVERAGE(AB22:AC22)</f>
        <v>#NAME?</v>
      </c>
      <c r="AE22" s="69" t="e">
        <f ca="1">[4]!blp($AE$2&amp;Y22&amp;" "&amp;$AE$3,$AE$4)*100</f>
        <v>#NAME?</v>
      </c>
      <c r="AF22" s="69" t="e">
        <f ca="1">[4]!blp($AF$2&amp;Y22&amp;" "&amp;$AF$3,$AF$4)</f>
        <v>#NAME?</v>
      </c>
      <c r="AG22" s="96" t="e">
        <f ca="1">[4]!blp($AG$2&amp;Y22&amp;" "&amp;$AG$3,$AG$4)*100</f>
        <v>#NAME?</v>
      </c>
      <c r="AH22" s="69" t="e">
        <f ca="1">[4]!blp($AH$2&amp;Y22&amp;" "&amp;$AH$3,$AH$4)*100</f>
        <v>#NAME?</v>
      </c>
    </row>
    <row r="23" spans="1:34" ht="15.75" thickBot="1" x14ac:dyDescent="0.3"/>
    <row r="24" spans="1:34" ht="15.75" thickBot="1" x14ac:dyDescent="0.3">
      <c r="G24" s="97"/>
      <c r="J24" s="8" t="s">
        <v>60</v>
      </c>
      <c r="K24" s="2" t="s">
        <v>27</v>
      </c>
      <c r="L24" s="98"/>
      <c r="S24" s="97"/>
    </row>
    <row r="25" spans="1:34" ht="15.75" thickBot="1" x14ac:dyDescent="0.3">
      <c r="G25" s="97"/>
      <c r="H25" s="77"/>
      <c r="J25" s="99">
        <v>42656</v>
      </c>
      <c r="K25" s="100" t="e">
        <f ca="1">VLOOKUP(J25,$B$10:$P$22,11,1)+VLOOKUP(J25,$B$10:$P$22,15,1)*(J25-VLOOKUP(J25,$B$10:$P$22,1,1))</f>
        <v>#N/A</v>
      </c>
      <c r="M25" s="101"/>
      <c r="N25" s="77"/>
      <c r="T25" s="77">
        <v>3.0000000000000001E-3</v>
      </c>
      <c r="U25" s="77">
        <v>1E-3</v>
      </c>
    </row>
    <row r="26" spans="1:34" ht="15.75" thickBot="1" x14ac:dyDescent="0.3">
      <c r="E26" s="102" t="s">
        <v>5</v>
      </c>
      <c r="M26" s="103"/>
      <c r="N26" s="77"/>
      <c r="O26" s="77"/>
      <c r="P26" s="77"/>
      <c r="T26" s="317" t="s">
        <v>61</v>
      </c>
      <c r="U26" s="318"/>
    </row>
    <row r="27" spans="1:34" ht="15.75" thickBot="1" x14ac:dyDescent="0.3">
      <c r="A27" s="319" t="s">
        <v>62</v>
      </c>
      <c r="B27" s="320"/>
      <c r="C27" s="320"/>
      <c r="D27" s="320"/>
      <c r="E27" s="320"/>
      <c r="F27" s="320"/>
      <c r="G27" s="320"/>
      <c r="H27" s="320"/>
      <c r="I27" s="320"/>
      <c r="J27" s="320"/>
      <c r="K27" s="321"/>
      <c r="L27" s="104"/>
      <c r="M27" s="103"/>
      <c r="N27" s="7">
        <v>1</v>
      </c>
      <c r="P27" s="7">
        <v>0</v>
      </c>
      <c r="T27" s="105" t="s">
        <v>63</v>
      </c>
      <c r="U27" s="106" t="s">
        <v>64</v>
      </c>
    </row>
    <row r="28" spans="1:34" ht="15.75" thickBot="1" x14ac:dyDescent="0.3">
      <c r="A28" s="107" t="s">
        <v>60</v>
      </c>
      <c r="B28" s="108" t="s">
        <v>65</v>
      </c>
      <c r="C28" s="108" t="s">
        <v>66</v>
      </c>
      <c r="D28" s="109" t="s">
        <v>67</v>
      </c>
      <c r="E28" s="110" t="s">
        <v>68</v>
      </c>
      <c r="F28" s="111" t="s">
        <v>69</v>
      </c>
      <c r="G28" s="112" t="s">
        <v>70</v>
      </c>
      <c r="H28" s="71" t="s">
        <v>71</v>
      </c>
      <c r="I28" s="112" t="s">
        <v>72</v>
      </c>
      <c r="J28" s="112" t="s">
        <v>73</v>
      </c>
      <c r="K28" s="112" t="s">
        <v>74</v>
      </c>
      <c r="L28" s="11" t="s">
        <v>27</v>
      </c>
      <c r="M28" s="25" t="s">
        <v>75</v>
      </c>
      <c r="N28" s="113" t="s">
        <v>76</v>
      </c>
      <c r="O28" s="113" t="s">
        <v>77</v>
      </c>
      <c r="P28" s="113" t="s">
        <v>78</v>
      </c>
      <c r="Q28" s="114" t="s">
        <v>79</v>
      </c>
      <c r="R28" s="26" t="s">
        <v>80</v>
      </c>
      <c r="S28" s="115" t="s">
        <v>81</v>
      </c>
      <c r="T28" s="116" t="e">
        <f ca="1">+L12-$T$25</f>
        <v>#NAME?</v>
      </c>
      <c r="U28" s="40" t="e">
        <f ca="1">+L12+$U$25</f>
        <v>#NAME?</v>
      </c>
    </row>
    <row r="29" spans="1:34" x14ac:dyDescent="0.25">
      <c r="A29" s="117" t="s">
        <v>38</v>
      </c>
      <c r="B29" s="118" t="e">
        <f ca="1">[4]!blp("CLN1M Garb Index","NDF_FIXING_DATE")*1</f>
        <v>#NAME?</v>
      </c>
      <c r="C29" s="119" t="e">
        <f ca="1">+(B29-As_of_date)</f>
        <v>#NAME?</v>
      </c>
      <c r="D29" s="120" t="e">
        <f ca="1">[4]!blp("CLN1M Garb Index","PX_LAST")*1</f>
        <v>#NAME?</v>
      </c>
      <c r="E29" s="62">
        <f>IF($E$26="ICAP",D29,$G$29)</f>
        <v>10</v>
      </c>
      <c r="F29" s="13" t="s">
        <v>82</v>
      </c>
      <c r="G29" s="121">
        <v>10</v>
      </c>
      <c r="H29" s="122" t="e">
        <f ca="1">((USDCOP/(USDCOP+E29))*(1+AVERAGE(D5:D6)*(C29/360))-1)*(360/C29)</f>
        <v>#NAME?</v>
      </c>
      <c r="I29" s="116" t="e">
        <f ca="1">+coupon2_LIBOR</f>
        <v>#NAME?</v>
      </c>
      <c r="J29" s="123" t="e">
        <f t="shared" ref="J29:J40" ca="1" si="6">+H29-I29</f>
        <v>#NAME?</v>
      </c>
      <c r="K29" s="40" t="e">
        <f ca="1">(((USDCOP+E29)/USDCOP)*(1+coupon2_LIBOR*C6)-1)*(360/C29)</f>
        <v>#NAME?</v>
      </c>
      <c r="L29" s="124" t="e">
        <f t="shared" ref="L29:L34" ca="1" si="7">((E29+USDCOP)/USDCOP)^(365/(B29-As_of_date))-1</f>
        <v>#NAME?</v>
      </c>
      <c r="M29" s="116">
        <v>4.2000000000000003E-2</v>
      </c>
      <c r="N29" s="125" t="e">
        <f t="shared" ref="N29:N34" ca="1" si="8">-$N$27*(G29+USDCOP)</f>
        <v>#NAME?</v>
      </c>
      <c r="O29" s="126" t="e">
        <f t="shared" ref="O29:O34" ca="1" si="9">($N$27*USDCOP)*(1+M29)^(C29/365)</f>
        <v>#NAME?</v>
      </c>
      <c r="P29" s="127" t="e">
        <f ca="1">$P$27/1000*(-N29)</f>
        <v>#NAME?</v>
      </c>
      <c r="Q29" s="128" t="e">
        <f t="shared" ref="Q29:Q34" ca="1" si="10">(($N$27+(N29+O29-P29)/USDCOP)/$N$27)^(365/C29)-1</f>
        <v>#NAME?</v>
      </c>
      <c r="R29" s="40" t="e">
        <f t="shared" ref="R29:R34" ca="1" si="11">((USDCOP/(USDCOP+E29))*(1+M29*C29/360)-1)*(360/C29)</f>
        <v>#NAME?</v>
      </c>
      <c r="S29" s="105" t="s">
        <v>83</v>
      </c>
      <c r="T29" s="129" t="e">
        <f t="shared" ref="T29:T31" ca="1" si="12">+L13-$T$25</f>
        <v>#NAME?</v>
      </c>
      <c r="U29" s="51" t="e">
        <f t="shared" ref="U29:U31" ca="1" si="13">+L13+$U$25</f>
        <v>#NAME?</v>
      </c>
    </row>
    <row r="30" spans="1:34" ht="15.75" thickBot="1" x14ac:dyDescent="0.3">
      <c r="A30" s="130" t="s">
        <v>84</v>
      </c>
      <c r="B30" s="131" t="e">
        <f ca="1">[4]!blp("CLN2M Garb Index","NDF_FIXING_DATE")*1</f>
        <v>#NAME?</v>
      </c>
      <c r="C30" s="132" t="e">
        <f t="shared" ref="C30:C36" ca="1" si="14">+(B30-As_of_date)</f>
        <v>#NAME?</v>
      </c>
      <c r="D30" s="133" t="e">
        <f ca="1">[4]!blp("CLN2M Garb Index","PX_LAST")*1</f>
        <v>#NAME?</v>
      </c>
      <c r="E30" s="55">
        <f t="shared" ref="E30:E36" si="15">IF($E$26="ICAP",D30,$G$29+G30)</f>
        <v>18.25</v>
      </c>
      <c r="F30" s="17" t="s">
        <v>85</v>
      </c>
      <c r="G30" s="134">
        <v>8.25</v>
      </c>
      <c r="H30" s="135" t="e">
        <f ca="1">((USDCOP/(USDCOP+E30))*(1+AVERAGE(D6:D7)*(C30/360))-1)*(360/C30)</f>
        <v>#NAME?</v>
      </c>
      <c r="I30" s="129" t="e">
        <f ca="1">[4]!blp("USSWB Curncy","px_last")/100</f>
        <v>#NAME?</v>
      </c>
      <c r="J30" s="136" t="e">
        <f t="shared" ca="1" si="6"/>
        <v>#NAME?</v>
      </c>
      <c r="K30" s="51" t="e">
        <f ca="1">(((USDCOP+E30)/USDCOP)*(1+I30*(C30/360))-1)*(360/C30)</f>
        <v>#NAME?</v>
      </c>
      <c r="L30" s="137" t="e">
        <f t="shared" ca="1" si="7"/>
        <v>#NAME?</v>
      </c>
      <c r="M30" s="129">
        <v>4.2000000000000003E-2</v>
      </c>
      <c r="N30" s="138" t="e">
        <f t="shared" ca="1" si="8"/>
        <v>#NAME?</v>
      </c>
      <c r="O30" s="139" t="e">
        <f t="shared" ca="1" si="9"/>
        <v>#NAME?</v>
      </c>
      <c r="P30" s="140" t="e">
        <f t="shared" ref="P30:P34" ca="1" si="16">$P$27/1000*(-N30)</f>
        <v>#NAME?</v>
      </c>
      <c r="Q30" s="97" t="e">
        <f t="shared" ca="1" si="10"/>
        <v>#NAME?</v>
      </c>
      <c r="R30" s="51" t="e">
        <f t="shared" ca="1" si="11"/>
        <v>#NAME?</v>
      </c>
      <c r="S30" s="105" t="s">
        <v>86</v>
      </c>
      <c r="T30" s="129" t="e">
        <f t="shared" ca="1" si="12"/>
        <v>#NAME?</v>
      </c>
      <c r="U30" s="51" t="e">
        <f t="shared" ca="1" si="13"/>
        <v>#NAME?</v>
      </c>
    </row>
    <row r="31" spans="1:34" ht="15.75" thickBot="1" x14ac:dyDescent="0.3">
      <c r="A31" s="130" t="s">
        <v>40</v>
      </c>
      <c r="B31" s="131" t="e">
        <f ca="1">[4]!blp("CLN3M Garb Index","NDF_FIXING_DATE")*1</f>
        <v>#NAME?</v>
      </c>
      <c r="C31" s="132" t="e">
        <f t="shared" ca="1" si="14"/>
        <v>#NAME?</v>
      </c>
      <c r="D31" s="133" t="e">
        <f ca="1">[4]!blp("CLN3M Garb Index","PX_LAST")*1</f>
        <v>#NAME?</v>
      </c>
      <c r="E31" s="55">
        <f>IF($E$26="ICAP",D31,$G$29+G31)</f>
        <v>27</v>
      </c>
      <c r="F31" s="17" t="s">
        <v>87</v>
      </c>
      <c r="G31" s="134">
        <v>17</v>
      </c>
      <c r="H31" s="116" t="e">
        <f ca="1">((USDCOP/(USDCOP+E31))*(1+coupon3_IBR*C7)-1)*(360/C31)</f>
        <v>#NAME?</v>
      </c>
      <c r="I31" s="122" t="e">
        <f ca="1">+coupon3_LIBOR</f>
        <v>#NAME?</v>
      </c>
      <c r="J31" s="123" t="e">
        <f t="shared" ca="1" si="6"/>
        <v>#NAME?</v>
      </c>
      <c r="K31" s="122" t="e">
        <f ca="1">(((USDCOP+E31)/USDCOP)*(1+coupon3_LIBOR*C7)-1)*(360/C31)</f>
        <v>#NAME?</v>
      </c>
      <c r="L31" s="137" t="e">
        <f t="shared" ca="1" si="7"/>
        <v>#NAME?</v>
      </c>
      <c r="M31" s="129">
        <v>4.2000000000000003E-2</v>
      </c>
      <c r="N31" s="138" t="e">
        <f t="shared" ca="1" si="8"/>
        <v>#NAME?</v>
      </c>
      <c r="O31" s="139" t="e">
        <f t="shared" ca="1" si="9"/>
        <v>#NAME?</v>
      </c>
      <c r="P31" s="140" t="e">
        <f t="shared" ca="1" si="16"/>
        <v>#NAME?</v>
      </c>
      <c r="Q31" s="97" t="e">
        <f t="shared" ca="1" si="10"/>
        <v>#NAME?</v>
      </c>
      <c r="R31" s="51" t="e">
        <f t="shared" ca="1" si="11"/>
        <v>#NAME?</v>
      </c>
      <c r="S31" s="141" t="s">
        <v>88</v>
      </c>
      <c r="T31" s="142" t="e">
        <f t="shared" ca="1" si="12"/>
        <v>#NAME?</v>
      </c>
      <c r="U31" s="143" t="e">
        <f t="shared" ca="1" si="13"/>
        <v>#NAME?</v>
      </c>
    </row>
    <row r="32" spans="1:34" x14ac:dyDescent="0.25">
      <c r="A32" s="130" t="s">
        <v>42</v>
      </c>
      <c r="B32" s="131" t="e">
        <f ca="1">[4]!blp("CLN6M Garb Index","NDF_FIXING_DATE")*1</f>
        <v>#NAME?</v>
      </c>
      <c r="C32" s="132" t="e">
        <f t="shared" ca="1" si="14"/>
        <v>#NAME?</v>
      </c>
      <c r="D32" s="133" t="e">
        <f ca="1">[4]!blp("CLN6M Garb Index","PX_LAST")*1</f>
        <v>#NAME?</v>
      </c>
      <c r="E32" s="55">
        <f>IF($E$26="ICAP",D32,$G$29+G32)</f>
        <v>50</v>
      </c>
      <c r="F32" s="17" t="s">
        <v>89</v>
      </c>
      <c r="G32" s="134">
        <v>40</v>
      </c>
      <c r="H32" s="129" t="e">
        <f ca="1">((USDCOP/(USDCOP+E32))*(1+coupon4_IBR*C8)-1)*(360/C32)</f>
        <v>#NAME?</v>
      </c>
      <c r="I32" s="144" t="e">
        <f ca="1">+coupon4_LIBOR</f>
        <v>#NAME?</v>
      </c>
      <c r="J32" s="145" t="e">
        <f t="shared" ca="1" si="6"/>
        <v>#NAME?</v>
      </c>
      <c r="K32" s="144" t="e">
        <f ca="1">(((USDCOP+E32)/USDCOP)*(1+coupon4_LIBOR*C8)-1)*(360/C32)</f>
        <v>#NAME?</v>
      </c>
      <c r="L32" s="137" t="e">
        <f ca="1">((E32+USDCOP)/USDCOP)^(365/(B32-As_of_date))-1</f>
        <v>#NAME?</v>
      </c>
      <c r="M32" s="129">
        <v>4.4999999999999998E-2</v>
      </c>
      <c r="N32" s="138" t="e">
        <f t="shared" ca="1" si="8"/>
        <v>#NAME?</v>
      </c>
      <c r="O32" s="139" t="e">
        <f t="shared" ca="1" si="9"/>
        <v>#NAME?</v>
      </c>
      <c r="P32" s="140" t="e">
        <f t="shared" ca="1" si="16"/>
        <v>#NAME?</v>
      </c>
      <c r="Q32" s="97" t="e">
        <f t="shared" ca="1" si="10"/>
        <v>#NAME?</v>
      </c>
      <c r="R32" s="51" t="e">
        <f t="shared" ca="1" si="11"/>
        <v>#NAME?</v>
      </c>
    </row>
    <row r="33" spans="1:18" x14ac:dyDescent="0.25">
      <c r="A33" s="130" t="s">
        <v>44</v>
      </c>
      <c r="B33" s="131" t="e">
        <f ca="1">[4]!blp("CLN9M Garb Index","NDF_FIXING_DATE")*1</f>
        <v>#NAME?</v>
      </c>
      <c r="C33" s="132" t="e">
        <f t="shared" ca="1" si="14"/>
        <v>#NAME?</v>
      </c>
      <c r="D33" s="133" t="e">
        <f ca="1">[4]!blp("CLN9M Garb Index","PX_LAST")*1</f>
        <v>#NAME?</v>
      </c>
      <c r="E33" s="55">
        <f t="shared" si="15"/>
        <v>72</v>
      </c>
      <c r="F33" s="17" t="s">
        <v>90</v>
      </c>
      <c r="G33" s="134">
        <v>62</v>
      </c>
      <c r="H33" s="129" t="e">
        <f ca="1">((USDCOP/(USDCOP+E33))*(1+coupon5_IBR*C9)-1)*(360/C33)</f>
        <v>#NAME?</v>
      </c>
      <c r="I33" s="146" t="e">
        <f ca="1">+coupon5_LIBOR</f>
        <v>#NAME?</v>
      </c>
      <c r="J33" s="145" t="e">
        <f t="shared" ca="1" si="6"/>
        <v>#NAME?</v>
      </c>
      <c r="K33" s="144" t="e">
        <f ca="1">(((USDCOP+E33)/USDCOP)*(1+coupon5_LIBOR*C9)-1)*(360/C33)</f>
        <v>#NAME?</v>
      </c>
      <c r="L33" s="137" t="e">
        <f t="shared" ca="1" si="7"/>
        <v>#NAME?</v>
      </c>
      <c r="M33" s="129">
        <v>4.8000000000000001E-2</v>
      </c>
      <c r="N33" s="138" t="e">
        <f t="shared" ca="1" si="8"/>
        <v>#NAME?</v>
      </c>
      <c r="O33" s="139" t="e">
        <f t="shared" ca="1" si="9"/>
        <v>#NAME?</v>
      </c>
      <c r="P33" s="140" t="e">
        <f t="shared" ca="1" si="16"/>
        <v>#NAME?</v>
      </c>
      <c r="Q33" s="97" t="e">
        <f t="shared" ca="1" si="10"/>
        <v>#NAME?</v>
      </c>
      <c r="R33" s="51" t="e">
        <f t="shared" ca="1" si="11"/>
        <v>#NAME?</v>
      </c>
    </row>
    <row r="34" spans="1:18" ht="15.75" thickBot="1" x14ac:dyDescent="0.3">
      <c r="A34" s="130" t="s">
        <v>46</v>
      </c>
      <c r="B34" s="131" t="e">
        <f ca="1">[4]!blp("CLN12M Garb Index","NDF_FIXING_DATE")*1</f>
        <v>#NAME?</v>
      </c>
      <c r="C34" s="132" t="e">
        <f ca="1">+(B34-As_of_date)</f>
        <v>#NAME?</v>
      </c>
      <c r="D34" s="133" t="e">
        <f ca="1">[4]!blp("CLN12M Garb Index","PX_LAST")*1</f>
        <v>#NAME?</v>
      </c>
      <c r="E34" s="55">
        <f t="shared" si="15"/>
        <v>95</v>
      </c>
      <c r="F34" s="17" t="s">
        <v>91</v>
      </c>
      <c r="G34" s="134">
        <v>85</v>
      </c>
      <c r="H34" s="142" t="e">
        <f ca="1">((USDCOP/(USDCOP+E34))*(1+coupon6_IBR*C10)-1)*(360/C34)</f>
        <v>#NAME?</v>
      </c>
      <c r="I34" s="135" t="e">
        <f ca="1">+coupon6_LIBOR</f>
        <v>#NAME?</v>
      </c>
      <c r="J34" s="136" t="e">
        <f ca="1">+H34-I34</f>
        <v>#NAME?</v>
      </c>
      <c r="K34" s="135" t="e">
        <f ca="1">(((USDCOP+E34)/USDCOP)*(1+coupon6_LIBOR*C10)-1)*(360/C34)</f>
        <v>#NAME?</v>
      </c>
      <c r="L34" s="147" t="e">
        <f t="shared" ca="1" si="7"/>
        <v>#NAME?</v>
      </c>
      <c r="M34" s="142">
        <v>5.0999999999999997E-2</v>
      </c>
      <c r="N34" s="148" t="e">
        <f t="shared" ca="1" si="8"/>
        <v>#NAME?</v>
      </c>
      <c r="O34" s="149" t="e">
        <f t="shared" ca="1" si="9"/>
        <v>#NAME?</v>
      </c>
      <c r="P34" s="150" t="e">
        <f t="shared" ca="1" si="16"/>
        <v>#NAME?</v>
      </c>
      <c r="Q34" s="151" t="e">
        <f t="shared" ca="1" si="10"/>
        <v>#NAME?</v>
      </c>
      <c r="R34" s="143" t="e">
        <f t="shared" ca="1" si="11"/>
        <v>#NAME?</v>
      </c>
    </row>
    <row r="35" spans="1:18" x14ac:dyDescent="0.25">
      <c r="A35" s="130" t="s">
        <v>47</v>
      </c>
      <c r="B35" s="131" t="e">
        <f ca="1">[4]!blp("CLN18M Garb Index","NDF_FIXING_DATE")*1</f>
        <v>#NAME?</v>
      </c>
      <c r="C35" s="132" t="e">
        <f t="shared" ca="1" si="14"/>
        <v>#NAME?</v>
      </c>
      <c r="D35" s="133" t="e">
        <f ca="1">[4]!blp("CLN18M ICCB Index","PX_LAST")*1</f>
        <v>#NAME?</v>
      </c>
      <c r="E35" s="55">
        <f t="shared" si="15"/>
        <v>117</v>
      </c>
      <c r="F35" s="17" t="s">
        <v>92</v>
      </c>
      <c r="G35" s="152">
        <v>107</v>
      </c>
      <c r="H35" s="51" t="e">
        <f ca="1">((USDCOP/(USDCOP+E35))*(1+coupon7_IBR*C11)-1)*(360/C35)</f>
        <v>#NAME?</v>
      </c>
      <c r="I35" s="144" t="e">
        <f>+[2]!rate7</f>
        <v>#REF!</v>
      </c>
      <c r="J35" s="123" t="e">
        <f t="shared" ca="1" si="6"/>
        <v>#NAME?</v>
      </c>
      <c r="K35" s="144" t="e">
        <f ca="1">(((USDCOP+E35)/USDCOP)*(1+[2]!rate7*C12)-1)*(360/C35)</f>
        <v>#NAME?</v>
      </c>
      <c r="L35" s="97"/>
      <c r="M35" s="153"/>
      <c r="N35" s="153"/>
      <c r="O35" s="77"/>
      <c r="P35" s="77"/>
    </row>
    <row r="36" spans="1:18" ht="15.75" thickBot="1" x14ac:dyDescent="0.3">
      <c r="A36" s="154" t="s">
        <v>49</v>
      </c>
      <c r="B36" s="131" t="e">
        <f ca="1">[4]!blp("CLN2Y Garb Index","NDF_FIXING_DATE")*1</f>
        <v>#NAME?</v>
      </c>
      <c r="C36" s="132" t="e">
        <f t="shared" ca="1" si="14"/>
        <v>#NAME?</v>
      </c>
      <c r="D36" s="133" t="e">
        <f ca="1">[4]!blp("CLN2Y Garb Index","PX_LAST")*1</f>
        <v>#NAME?</v>
      </c>
      <c r="E36" s="69">
        <f t="shared" si="15"/>
        <v>166</v>
      </c>
      <c r="F36" s="17" t="s">
        <v>93</v>
      </c>
      <c r="G36" s="134">
        <v>156</v>
      </c>
      <c r="H36" s="51" t="e">
        <f ca="1">((USDCOP/(USDCOP+E36))*(1+[2]!rate8*C12)-1)*(360/C36)</f>
        <v>#NAME?</v>
      </c>
      <c r="I36" s="144" t="e">
        <f>+[2]!rate8</f>
        <v>#REF!</v>
      </c>
      <c r="J36" s="136" t="e">
        <f ca="1">+H36-I36</f>
        <v>#NAME?</v>
      </c>
      <c r="K36" s="144" t="e">
        <f ca="1">(((USDCOP+E36)/USDCOP)*(1+coupon8_LIBOR*C12)-1)*(360/C36)</f>
        <v>#NAME?</v>
      </c>
      <c r="L36" s="97"/>
      <c r="M36" s="155"/>
      <c r="N36" s="153"/>
      <c r="O36" s="97"/>
      <c r="P36" s="97"/>
    </row>
    <row r="37" spans="1:18" x14ac:dyDescent="0.25">
      <c r="A37" s="41" t="s">
        <v>94</v>
      </c>
      <c r="B37" s="156" t="e">
        <f ca="1">[4]!blp("CLN1W Garb Index","NDF_FIXING_DATE")*1</f>
        <v>#NAME?</v>
      </c>
      <c r="C37" s="119" t="e">
        <f t="shared" ref="C37" ca="1" si="17">+(B37-As_of_date)</f>
        <v>#NAME?</v>
      </c>
      <c r="D37" s="157"/>
      <c r="E37" s="121">
        <v>2</v>
      </c>
      <c r="F37" s="13" t="s">
        <v>82</v>
      </c>
      <c r="G37" s="158"/>
      <c r="H37" s="122" t="e">
        <f ca="1">((USDCOP/(USDCOP+E37))*(1+coupon1_IBR*C37/360)-1)*(360/C37)</f>
        <v>#NAME?</v>
      </c>
      <c r="I37" s="122" t="e">
        <f ca="1">+coupon2_LIBOR</f>
        <v>#NAME?</v>
      </c>
      <c r="J37" s="123" t="e">
        <f t="shared" ca="1" si="6"/>
        <v>#NAME?</v>
      </c>
      <c r="K37" s="40" t="e">
        <f ca="1">(((USDCOP+E37)/USDCOP)*(1+coupon2_LIBOR*C37/360)-1)*(360/C37)</f>
        <v>#NAME?</v>
      </c>
      <c r="M37" s="159"/>
      <c r="N37" s="153"/>
    </row>
    <row r="38" spans="1:18" ht="15.75" thickBot="1" x14ac:dyDescent="0.3">
      <c r="A38" s="160" t="s">
        <v>95</v>
      </c>
      <c r="B38" s="161" t="e">
        <f ca="1">[4]!blp("CLN2W Garb Index","NDF_FIXING_DATE")*1</f>
        <v>#NAME?</v>
      </c>
      <c r="C38" s="162" t="e">
        <f t="shared" ref="C38:C39" ca="1" si="18">+(B38-As_of_date)</f>
        <v>#NAME?</v>
      </c>
      <c r="D38" s="163"/>
      <c r="E38" s="164">
        <v>3.75</v>
      </c>
      <c r="F38" s="28" t="s">
        <v>82</v>
      </c>
      <c r="G38" s="165"/>
      <c r="H38" s="135" t="e">
        <f ca="1">((USDCOP/(USDCOP+E38))*(1+coupon1_IBR*C38/360)-1)*(360/C38)</f>
        <v>#NAME?</v>
      </c>
      <c r="I38" s="135" t="e">
        <f ca="1">+coupon2_LIBOR</f>
        <v>#NAME?</v>
      </c>
      <c r="J38" s="136" t="e">
        <f t="shared" ca="1" si="6"/>
        <v>#NAME?</v>
      </c>
      <c r="K38" s="143" t="e">
        <f ca="1">(((USDCOP+E38)/USDCOP)*(1+coupon2_LIBOR*C38/360)-1)*(360/C38)</f>
        <v>#NAME?</v>
      </c>
      <c r="M38" s="153"/>
      <c r="N38" s="155"/>
    </row>
    <row r="39" spans="1:18" x14ac:dyDescent="0.25">
      <c r="A39" s="41" t="s">
        <v>96</v>
      </c>
      <c r="B39" s="118">
        <v>42040</v>
      </c>
      <c r="C39" s="119">
        <f t="shared" ca="1" si="18"/>
        <v>-1867</v>
      </c>
      <c r="D39" s="157"/>
      <c r="E39" s="121">
        <v>6.5</v>
      </c>
      <c r="F39" s="13" t="s">
        <v>82</v>
      </c>
      <c r="G39" s="158"/>
      <c r="H39" s="122" t="e">
        <f ca="1">((USDCOP/(USDCOP+E39))*(1+0.0435*C39/360)-1)*(360/C39)</f>
        <v>#NAME?</v>
      </c>
      <c r="I39" s="122" t="e">
        <f ca="1">+coupon2_LIBOR</f>
        <v>#NAME?</v>
      </c>
      <c r="J39" s="123" t="e">
        <f t="shared" ca="1" si="6"/>
        <v>#NAME?</v>
      </c>
      <c r="K39" s="128" t="e">
        <f ca="1">(((USDCOP+E39)/USDCOP)*(1+coupon2_LIBOR*C39/360)-1)*(360/C39)</f>
        <v>#NAME?</v>
      </c>
      <c r="L39" s="124" t="e">
        <f t="shared" ref="L39:L40" ca="1" si="19">((E39+USDCOP)/USDCOP)^(365/(B39-As_of_date))-1</f>
        <v>#NAME?</v>
      </c>
      <c r="M39" s="155"/>
      <c r="N39" s="153"/>
      <c r="O39" s="97"/>
      <c r="P39" s="97"/>
    </row>
    <row r="40" spans="1:18" ht="15.75" thickBot="1" x14ac:dyDescent="0.3">
      <c r="A40" s="160" t="s">
        <v>97</v>
      </c>
      <c r="B40" s="166">
        <v>42047</v>
      </c>
      <c r="C40" s="162">
        <f t="shared" ref="C40" ca="1" si="20">+(B40-As_of_date)</f>
        <v>-1860</v>
      </c>
      <c r="D40" s="163"/>
      <c r="E40" s="164">
        <v>8.5</v>
      </c>
      <c r="F40" s="28" t="s">
        <v>82</v>
      </c>
      <c r="G40" s="165"/>
      <c r="H40" s="135" t="e">
        <f ca="1">((USDCOP/(USDCOP+E40))*(1+0.0435*C40/360)-1)*(360/C40)</f>
        <v>#NAME?</v>
      </c>
      <c r="I40" s="135" t="e">
        <f ca="1">+coupon2_LIBOR</f>
        <v>#NAME?</v>
      </c>
      <c r="J40" s="136" t="e">
        <f t="shared" ca="1" si="6"/>
        <v>#NAME?</v>
      </c>
      <c r="K40" s="167" t="e">
        <f ca="1">(((USDCOP+E40)/USDCOP)*(1+0.17%*C40/360)-1)*(360/C40)</f>
        <v>#NAME?</v>
      </c>
      <c r="L40" s="147" t="e">
        <f t="shared" ca="1" si="19"/>
        <v>#NAME?</v>
      </c>
      <c r="M40" s="153"/>
      <c r="N40" s="153"/>
    </row>
    <row r="41" spans="1:18" ht="15.75" thickBot="1" x14ac:dyDescent="0.3">
      <c r="F41" s="21"/>
      <c r="G41" s="168"/>
      <c r="M41" s="153"/>
      <c r="N41" s="153"/>
      <c r="O41" s="169"/>
    </row>
    <row r="42" spans="1:18" ht="15.75" thickBot="1" x14ac:dyDescent="0.3">
      <c r="E42" s="169"/>
      <c r="J42" s="11" t="s">
        <v>5</v>
      </c>
      <c r="O42" s="97"/>
      <c r="R42" s="97"/>
    </row>
    <row r="43" spans="1:18" ht="15.75" thickBot="1" x14ac:dyDescent="0.3">
      <c r="A43" s="170"/>
      <c r="C43" s="115" t="s">
        <v>98</v>
      </c>
      <c r="D43" s="171" t="s">
        <v>99</v>
      </c>
      <c r="E43" s="171" t="s">
        <v>100</v>
      </c>
      <c r="F43" s="172" t="s">
        <v>101</v>
      </c>
      <c r="G43" s="173" t="s">
        <v>102</v>
      </c>
      <c r="H43" s="11" t="s">
        <v>103</v>
      </c>
      <c r="I43" s="11" t="s">
        <v>104</v>
      </c>
      <c r="J43" s="171" t="s">
        <v>105</v>
      </c>
      <c r="K43" s="11" t="s">
        <v>106</v>
      </c>
      <c r="L43" s="11" t="s">
        <v>107</v>
      </c>
      <c r="O43" s="97"/>
      <c r="R43" s="97"/>
    </row>
    <row r="44" spans="1:18" x14ac:dyDescent="0.25">
      <c r="A44" s="299" t="s">
        <v>75</v>
      </c>
      <c r="B44" s="174" t="s">
        <v>108</v>
      </c>
      <c r="C44" s="13" t="e">
        <f ca="1">_xll.BDP($B44,C$43)</f>
        <v>#NAME?</v>
      </c>
      <c r="D44" s="175" t="e">
        <f ca="1">_xll.BDP($B44,D$43)*1</f>
        <v>#NAME?</v>
      </c>
      <c r="E44" s="176" t="e">
        <f ca="1">_xll.BDP($B44,E$43)*1</f>
        <v>#NAME?</v>
      </c>
      <c r="F44" s="13" t="e">
        <f ca="1">_xll.BDP($B44,F$43)*1</f>
        <v>#NAME?</v>
      </c>
      <c r="G44" s="177" t="e">
        <f t="shared" ref="G44:G78" ca="1" si="21">(E44-As_of_date)/365</f>
        <v>#NAME?</v>
      </c>
      <c r="H44" s="178" t="e">
        <f t="shared" ref="H44:H78" ca="1" si="22">(C44/100)*((As_of_date-D44)/365)*100</f>
        <v>#NAME?</v>
      </c>
      <c r="I44" s="179" t="e">
        <f ca="1">+H44+F44</f>
        <v>#NAME?</v>
      </c>
      <c r="J44" s="180" t="e">
        <f ca="1">IF($J$42="PROPIO",K44,_xll.BDP($B44,J$43)*1)</f>
        <v>#NAME?</v>
      </c>
      <c r="K44" s="181">
        <v>4.4770000000000003</v>
      </c>
      <c r="L44" s="182" t="e">
        <f ca="1">Precio_TES(As_of_date, [2]DATOS!D44,[2]DATOS!E44, [2]DATOS!C44/100,[2]DATOS!J44/100)-[2]DATOS!H44</f>
        <v>#VALUE!</v>
      </c>
      <c r="R44" s="97"/>
    </row>
    <row r="45" spans="1:18" x14ac:dyDescent="0.25">
      <c r="A45" s="300"/>
      <c r="B45" s="183" t="s">
        <v>109</v>
      </c>
      <c r="C45" s="17" t="e">
        <f ca="1">_xll.BDP($B45,C$43)</f>
        <v>#NAME?</v>
      </c>
      <c r="D45" s="184" t="e">
        <f ca="1">_xll.BDP($B45,D$43)*1</f>
        <v>#NAME?</v>
      </c>
      <c r="E45" s="185" t="e">
        <f ca="1">_xll.BDP($B45,E$43)*1</f>
        <v>#NAME?</v>
      </c>
      <c r="F45" s="17" t="e">
        <f ca="1">_xll.BDP($B45,F$43)*1</f>
        <v>#NAME?</v>
      </c>
      <c r="G45" s="186" t="e">
        <f t="shared" ca="1" si="21"/>
        <v>#NAME?</v>
      </c>
      <c r="H45" s="187" t="e">
        <f t="shared" ca="1" si="22"/>
        <v>#NAME?</v>
      </c>
      <c r="I45" s="188" t="e">
        <f t="shared" ref="I45:I108" ca="1" si="23">+H45+F45</f>
        <v>#NAME?</v>
      </c>
      <c r="J45" s="189" t="e">
        <f ca="1">IF($J$42="PROPIO",K45,_xll.BDP($B45,J$43)*1)</f>
        <v>#NAME?</v>
      </c>
      <c r="K45" s="190">
        <v>4.7370000000000001</v>
      </c>
      <c r="L45" s="191" t="e">
        <f ca="1">Precio_TES(As_of_date, [2]DATOS!D45,[2]DATOS!E45, [2]DATOS!C45/100,[2]DATOS!J45/100)-[2]DATOS!H45</f>
        <v>#VALUE!</v>
      </c>
      <c r="N45" s="131"/>
      <c r="R45" s="97"/>
    </row>
    <row r="46" spans="1:18" x14ac:dyDescent="0.25">
      <c r="A46" s="300"/>
      <c r="B46" s="183" t="s">
        <v>110</v>
      </c>
      <c r="C46" s="17" t="e">
        <f ca="1">_xll.BDP($B46,C$43)</f>
        <v>#NAME?</v>
      </c>
      <c r="D46" s="184" t="e">
        <f ca="1">_xll.BDP($B46,D$43)*1</f>
        <v>#NAME?</v>
      </c>
      <c r="E46" s="185" t="e">
        <f ca="1">_xll.BDP($B46,E$43)*1</f>
        <v>#NAME?</v>
      </c>
      <c r="F46" s="17" t="e">
        <f ca="1">_xll.BDP($B46,F$43)*1</f>
        <v>#NAME?</v>
      </c>
      <c r="G46" s="186" t="e">
        <f t="shared" ca="1" si="21"/>
        <v>#NAME?</v>
      </c>
      <c r="H46" s="187" t="e">
        <f t="shared" ca="1" si="22"/>
        <v>#NAME?</v>
      </c>
      <c r="I46" s="188" t="e">
        <f t="shared" ca="1" si="23"/>
        <v>#NAME?</v>
      </c>
      <c r="J46" s="189" t="e">
        <f ca="1">IF($J$42="PROPIO",K46,_xll.BDP($B46,J$43)*1)</f>
        <v>#NAME?</v>
      </c>
      <c r="K46" s="190">
        <v>4.9889999999999999</v>
      </c>
      <c r="L46" s="191" t="e">
        <f ca="1">Precio_TES(As_of_date, [2]DATOS!D46,[2]DATOS!E46, [2]DATOS!C46/100,[2]DATOS!J46/100)-[2]DATOS!H46</f>
        <v>#VALUE!</v>
      </c>
      <c r="N46" s="192"/>
      <c r="R46" s="97"/>
    </row>
    <row r="47" spans="1:18" ht="17.25" x14ac:dyDescent="0.4">
      <c r="A47" s="300"/>
      <c r="B47" s="183" t="s">
        <v>111</v>
      </c>
      <c r="C47" s="17" t="e">
        <f ca="1">_xll.BDP($B47,C$43)</f>
        <v>#NAME?</v>
      </c>
      <c r="D47" s="184" t="e">
        <f ca="1">_xll.BDP($B47,D$43)*1</f>
        <v>#NAME?</v>
      </c>
      <c r="E47" s="185" t="e">
        <f ca="1">_xll.BDP($B47,E$43)*1</f>
        <v>#NAME?</v>
      </c>
      <c r="F47" s="17" t="e">
        <f ca="1">_xll.BDP($B47,F$43)*1</f>
        <v>#NAME?</v>
      </c>
      <c r="G47" s="186" t="e">
        <f t="shared" ref="G47" ca="1" si="24">(E47-As_of_date)/365</f>
        <v>#NAME?</v>
      </c>
      <c r="H47" s="187" t="e">
        <f t="shared" ref="H47" ca="1" si="25">(C47/100)*((As_of_date-D47)/365)*100</f>
        <v>#NAME?</v>
      </c>
      <c r="I47" s="188" t="e">
        <f t="shared" ca="1" si="23"/>
        <v>#NAME?</v>
      </c>
      <c r="J47" s="189" t="e">
        <f ca="1">IF($J$42="PROPIO",K47,_xll.BDP($B47,J$43)*1)</f>
        <v>#NAME?</v>
      </c>
      <c r="K47" s="190">
        <v>5.798</v>
      </c>
      <c r="L47" s="191" t="e">
        <f ca="1">Precio_TES(As_of_date, [2]DATOS!D47,[2]DATOS!E47, [2]DATOS!C47/100,[2]DATOS!J47/100)-[2]DATOS!H47</f>
        <v>#VALUE!</v>
      </c>
      <c r="O47" s="193"/>
      <c r="R47" s="97"/>
    </row>
    <row r="48" spans="1:18" ht="16.5" x14ac:dyDescent="0.35">
      <c r="A48" s="300"/>
      <c r="B48" s="183" t="s">
        <v>112</v>
      </c>
      <c r="C48" s="17" t="e">
        <f ca="1">_xll.BDP($B48,C$43)</f>
        <v>#NAME?</v>
      </c>
      <c r="D48" s="184" t="e">
        <f ca="1">_xll.BDP($B48,D$43)*1</f>
        <v>#NAME?</v>
      </c>
      <c r="E48" s="185" t="e">
        <f ca="1">_xll.BDP($B48,E$43)*1</f>
        <v>#NAME?</v>
      </c>
      <c r="F48" s="17" t="e">
        <f ca="1">_xll.BDP($B48,F$43)*1</f>
        <v>#NAME?</v>
      </c>
      <c r="G48" s="186" t="e">
        <f t="shared" ca="1" si="21"/>
        <v>#NAME?</v>
      </c>
      <c r="H48" s="187" t="e">
        <f t="shared" ca="1" si="22"/>
        <v>#NAME?</v>
      </c>
      <c r="I48" s="188" t="e">
        <f t="shared" ca="1" si="23"/>
        <v>#NAME?</v>
      </c>
      <c r="J48" s="189" t="e">
        <f ca="1">IF($J$42="PROPIO",K48,_xll.BDP($B48,J$43)*1)</f>
        <v>#NAME?</v>
      </c>
      <c r="K48" s="190">
        <v>5.5750000000000002</v>
      </c>
      <c r="L48" s="191" t="e">
        <f ca="1">Precio_TES(As_of_date, [2]DATOS!D48,[2]DATOS!E48, [2]DATOS!C48/100,[2]DATOS!J48/100)-[2]DATOS!H48</f>
        <v>#VALUE!</v>
      </c>
      <c r="N48" s="194"/>
      <c r="O48" s="195"/>
      <c r="P48" s="194"/>
      <c r="Q48" s="194"/>
      <c r="R48" s="97"/>
    </row>
    <row r="49" spans="1:18" x14ac:dyDescent="0.25">
      <c r="A49" s="300"/>
      <c r="B49" s="183" t="s">
        <v>113</v>
      </c>
      <c r="C49" s="17" t="e">
        <f ca="1">_xll.BDP($B49,C$43)</f>
        <v>#NAME?</v>
      </c>
      <c r="D49" s="184" t="e">
        <f ca="1">_xll.BDP($B49,D$43)*1</f>
        <v>#NAME?</v>
      </c>
      <c r="E49" s="185" t="e">
        <f ca="1">_xll.BDP($B49,E$43)*1</f>
        <v>#NAME?</v>
      </c>
      <c r="F49" s="17" t="e">
        <f ca="1">_xll.BDP($B49,F$43)*1</f>
        <v>#NAME?</v>
      </c>
      <c r="G49" s="186" t="e">
        <f t="shared" ca="1" si="21"/>
        <v>#NAME?</v>
      </c>
      <c r="H49" s="187" t="e">
        <f t="shared" ca="1" si="22"/>
        <v>#NAME?</v>
      </c>
      <c r="I49" s="188" t="e">
        <f t="shared" ca="1" si="23"/>
        <v>#NAME?</v>
      </c>
      <c r="J49" s="189" t="e">
        <f ca="1">IF($J$42="PROPIO",K49,_xll.BDP($B49,J$43)*1)</f>
        <v>#NAME?</v>
      </c>
      <c r="K49" s="190">
        <v>5.6959999999999997</v>
      </c>
      <c r="L49" s="191" t="e">
        <f ca="1">Precio_TES(As_of_date, [2]DATOS!D49,[2]DATOS!E49, [2]DATOS!C49/100,[2]DATOS!J49/100)-[2]DATOS!H49</f>
        <v>#VALUE!</v>
      </c>
      <c r="N49" s="196"/>
      <c r="O49" s="197"/>
      <c r="P49" s="197"/>
      <c r="Q49" s="198"/>
      <c r="R49" s="97"/>
    </row>
    <row r="50" spans="1:18" x14ac:dyDescent="0.25">
      <c r="A50" s="300"/>
      <c r="B50" s="183" t="s">
        <v>114</v>
      </c>
      <c r="C50" s="17" t="e">
        <f ca="1">_xll.BDP($B50,C$43)</f>
        <v>#NAME?</v>
      </c>
      <c r="D50" s="184" t="e">
        <f ca="1">_xll.BDP($B50,D$43)*1</f>
        <v>#NAME?</v>
      </c>
      <c r="E50" s="185" t="e">
        <f ca="1">_xll.BDP($B50,E$43)*1</f>
        <v>#NAME?</v>
      </c>
      <c r="F50" s="17" t="e">
        <f ca="1">_xll.BDP($B50,F$43)*1</f>
        <v>#NAME?</v>
      </c>
      <c r="G50" s="186" t="e">
        <f t="shared" ref="G50" ca="1" si="26">(E50-As_of_date)/365</f>
        <v>#NAME?</v>
      </c>
      <c r="H50" s="187" t="e">
        <f ca="1">(C50/100)*((As_of_date-D50)/365)*100</f>
        <v>#NAME?</v>
      </c>
      <c r="I50" s="188" t="e">
        <f ca="1">+H50+F50</f>
        <v>#NAME?</v>
      </c>
      <c r="J50" s="189" t="e">
        <f ca="1">IF($J$42="PROPIO",K50,_xll.BDP($B50,J$43)*1)</f>
        <v>#NAME?</v>
      </c>
      <c r="K50" s="190">
        <v>5.83</v>
      </c>
      <c r="L50" s="191" t="e">
        <f ca="1">Precio_TES(As_of_date, [2]DATOS!D50,[2]DATOS!E50, [2]DATOS!C50/100,[2]DATOS!J50/100)-[2]DATOS!H50</f>
        <v>#VALUE!</v>
      </c>
      <c r="N50" s="199"/>
      <c r="O50" s="197"/>
      <c r="P50" s="197"/>
      <c r="Q50" s="198"/>
    </row>
    <row r="51" spans="1:18" x14ac:dyDescent="0.25">
      <c r="A51" s="300"/>
      <c r="B51" s="183" t="s">
        <v>115</v>
      </c>
      <c r="C51" s="17" t="e">
        <f ca="1">_xll.BDP($B51,C$43)</f>
        <v>#NAME?</v>
      </c>
      <c r="D51" s="184" t="e">
        <f ca="1">_xll.BDP($B51,D$43)*1</f>
        <v>#NAME?</v>
      </c>
      <c r="E51" s="185" t="e">
        <f ca="1">_xll.BDP($B51,E$43)*1</f>
        <v>#NAME?</v>
      </c>
      <c r="F51" s="17" t="e">
        <f ca="1">_xll.BDP($B51,F$43)*1</f>
        <v>#NAME?</v>
      </c>
      <c r="G51" s="186" t="e">
        <f t="shared" ca="1" si="21"/>
        <v>#NAME?</v>
      </c>
      <c r="H51" s="187" t="e">
        <f t="shared" ca="1" si="22"/>
        <v>#NAME?</v>
      </c>
      <c r="I51" s="188" t="e">
        <f t="shared" ca="1" si="23"/>
        <v>#NAME?</v>
      </c>
      <c r="J51" s="189" t="e">
        <f ca="1">IF($J$42="PROPIO",K51,_xll.BDP($B51,J$43)*1)</f>
        <v>#NAME?</v>
      </c>
      <c r="K51" s="190">
        <v>6.6</v>
      </c>
      <c r="L51" s="191" t="e">
        <f ca="1">Precio_TES(As_of_date, [2]DATOS!D51,[2]DATOS!E51, [2]DATOS!C51/100,[2]DATOS!J51/100)-[2]DATOS!H51</f>
        <v>#VALUE!</v>
      </c>
      <c r="N51" s="200"/>
      <c r="O51" s="197"/>
      <c r="P51" s="197"/>
      <c r="Q51" s="198"/>
    </row>
    <row r="52" spans="1:18" x14ac:dyDescent="0.25">
      <c r="A52" s="300"/>
      <c r="B52" s="183" t="s">
        <v>116</v>
      </c>
      <c r="C52" s="17" t="e">
        <f ca="1">_xll.BDP($B52,C$43)</f>
        <v>#NAME?</v>
      </c>
      <c r="D52" s="184" t="e">
        <f ca="1">_xll.BDP($B52,D$43)*1</f>
        <v>#NAME?</v>
      </c>
      <c r="E52" s="185" t="e">
        <f ca="1">_xll.BDP($B52,E$43)*1</f>
        <v>#NAME?</v>
      </c>
      <c r="F52" s="17" t="e">
        <f ca="1">_xll.BDP($B52,F$43)*1</f>
        <v>#NAME?</v>
      </c>
      <c r="G52" s="186" t="e">
        <f t="shared" ca="1" si="21"/>
        <v>#NAME?</v>
      </c>
      <c r="H52" s="187" t="e">
        <f ca="1">(C52/100)*((As_of_date-D52)/365)*100</f>
        <v>#NAME?</v>
      </c>
      <c r="I52" s="201" t="e">
        <f ca="1">+H52+F52</f>
        <v>#NAME?</v>
      </c>
      <c r="J52" s="189" t="e">
        <f ca="1">IF($J$42="PROPIO",K52,_xll.BDP($B52,J$43)*1)</f>
        <v>#NAME?</v>
      </c>
      <c r="K52" s="190">
        <v>6.6</v>
      </c>
      <c r="L52" s="191" t="e">
        <f ca="1">Precio_TES(As_of_date, [2]DATOS!D52,[2]DATOS!E52, [2]DATOS!C52/100,[2]DATOS!J52/100)-[2]DATOS!H52</f>
        <v>#VALUE!</v>
      </c>
      <c r="N52" s="200"/>
      <c r="O52" s="197"/>
      <c r="P52" s="197"/>
      <c r="Q52" s="198"/>
    </row>
    <row r="53" spans="1:18" x14ac:dyDescent="0.25">
      <c r="A53" s="300"/>
      <c r="B53" s="183" t="s">
        <v>117</v>
      </c>
      <c r="C53" s="17" t="e">
        <f ca="1">_xll.BDP($B53,C$43)</f>
        <v>#NAME?</v>
      </c>
      <c r="D53" s="184" t="e">
        <f ca="1">_xll.BDP($B53,D$43)*1</f>
        <v>#NAME?</v>
      </c>
      <c r="E53" s="185" t="e">
        <f ca="1">_xll.BDP($B53,E$43)*1</f>
        <v>#NAME?</v>
      </c>
      <c r="F53" s="17" t="e">
        <f ca="1">_xll.BDP($B53,F$43)*1</f>
        <v>#NAME?</v>
      </c>
      <c r="G53" s="186" t="e">
        <f t="shared" ca="1" si="21"/>
        <v>#NAME?</v>
      </c>
      <c r="H53" s="187" t="e">
        <f t="shared" ca="1" si="22"/>
        <v>#NAME?</v>
      </c>
      <c r="I53" s="188" t="e">
        <f t="shared" ca="1" si="23"/>
        <v>#NAME?</v>
      </c>
      <c r="J53" s="189" t="e">
        <f ca="1">IF($J$42="PROPIO",K53,_xll.BDP($B53,J$43)*1)</f>
        <v>#NAME?</v>
      </c>
      <c r="K53" s="190">
        <v>6.95</v>
      </c>
      <c r="L53" s="191" t="e">
        <f ca="1">Precio_TES(As_of_date, [2]DATOS!D53,[2]DATOS!E53, [2]DATOS!C53/100,[2]DATOS!J53/100)-[2]DATOS!H53</f>
        <v>#VALUE!</v>
      </c>
      <c r="N53" s="133"/>
      <c r="O53" s="197"/>
      <c r="P53" s="197"/>
      <c r="Q53" s="198"/>
    </row>
    <row r="54" spans="1:18" ht="15.75" thickBot="1" x14ac:dyDescent="0.3">
      <c r="A54" s="301"/>
      <c r="B54" s="183" t="s">
        <v>118</v>
      </c>
      <c r="C54" s="17" t="e">
        <f ca="1">_xll.BDP($B54,C$43)</f>
        <v>#NAME?</v>
      </c>
      <c r="D54" s="184" t="e">
        <f ca="1">_xll.BDP($B54,D$43)*1</f>
        <v>#NAME?</v>
      </c>
      <c r="E54" s="185" t="e">
        <f ca="1">_xll.BDP($B54,E$43)*1</f>
        <v>#NAME?</v>
      </c>
      <c r="F54" s="17" t="e">
        <f ca="1">_xll.BDP($B54,F$43)*1</f>
        <v>#NAME?</v>
      </c>
      <c r="G54" s="186" t="e">
        <f t="shared" ca="1" si="21"/>
        <v>#NAME?</v>
      </c>
      <c r="H54" s="187" t="e">
        <f t="shared" ca="1" si="22"/>
        <v>#NAME?</v>
      </c>
      <c r="I54" s="188" t="e">
        <f t="shared" ca="1" si="23"/>
        <v>#NAME?</v>
      </c>
      <c r="J54" s="189" t="e">
        <f ca="1">IF($J$42="PROPIO",K54,_xll.BDP($B54,J$43)*1)</f>
        <v>#NAME?</v>
      </c>
      <c r="K54" s="190">
        <v>7.1</v>
      </c>
      <c r="L54" s="191" t="e">
        <f ca="1">Precio_TES(As_of_date, [2]DATOS!D54,[2]DATOS!E54, [2]DATOS!C54/100,[2]DATOS!J54/100)-[2]DATOS!H54</f>
        <v>#VALUE!</v>
      </c>
      <c r="N54" s="202"/>
      <c r="O54" s="197"/>
      <c r="P54" s="197"/>
      <c r="Q54" s="198"/>
    </row>
    <row r="55" spans="1:18" x14ac:dyDescent="0.25">
      <c r="A55" s="302" t="s">
        <v>119</v>
      </c>
      <c r="B55" s="41" t="s">
        <v>120</v>
      </c>
      <c r="C55" s="13">
        <v>4.37</v>
      </c>
      <c r="D55" s="118" t="e">
        <f ca="1">IF(DAY(_xll.BDP($K55,D$43)*1)=DAY(E55),_xll.BDP($K55,D$43)*1,DAY(E55)&amp;"/"&amp;MONTH(_xll.BDP($K55,D$43)*1)&amp;"/"&amp;YEAR(_xll.BDP($K55,D$43)*1))*1</f>
        <v>#NAME?</v>
      </c>
      <c r="E55" s="203" t="e">
        <f ca="1">_xll.BDP($K55,E$43)*1</f>
        <v>#NAME?</v>
      </c>
      <c r="F55" s="41" t="e">
        <f ca="1">_xll.BDP($K55,F$43)*1</f>
        <v>#NAME?</v>
      </c>
      <c r="G55" s="204" t="e">
        <f t="shared" ref="G55" ca="1" si="27">(E55-As_of_date)/365</f>
        <v>#NAME?</v>
      </c>
      <c r="H55" s="179" t="e">
        <f t="shared" ref="H55" ca="1" si="28">(C55/100)*((As_of_date-D55)/365)*100</f>
        <v>#NAME?</v>
      </c>
      <c r="I55" s="179" t="e">
        <f t="shared" ca="1" si="23"/>
        <v>#NAME?</v>
      </c>
      <c r="J55" s="180" t="e">
        <f ca="1">_xll.BDP($K55,J$43)*1</f>
        <v>#NAME?</v>
      </c>
      <c r="K55" s="205" t="s">
        <v>121</v>
      </c>
      <c r="L55" s="206"/>
      <c r="N55" s="202"/>
      <c r="O55" s="197"/>
      <c r="P55" s="197"/>
      <c r="Q55" s="198"/>
    </row>
    <row r="56" spans="1:18" x14ac:dyDescent="0.25">
      <c r="A56" s="303"/>
      <c r="B56" s="183" t="s">
        <v>122</v>
      </c>
      <c r="C56" s="17">
        <v>2.84</v>
      </c>
      <c r="D56" s="131" t="e">
        <f ca="1">_xll.BDP($K56,D$43)*1</f>
        <v>#NAME?</v>
      </c>
      <c r="E56" s="207" t="e">
        <f ca="1">_xll.BDP($K56,E$43)*1</f>
        <v>#NAME?</v>
      </c>
      <c r="F56" s="56" t="e">
        <f ca="1">_xll.BDP($K56,F$43)*1</f>
        <v>#NAME?</v>
      </c>
      <c r="G56" s="208" t="e">
        <f t="shared" ref="G56" ca="1" si="29">(E56-As_of_date)/365</f>
        <v>#NAME?</v>
      </c>
      <c r="H56" s="188" t="e">
        <f t="shared" ref="H56" ca="1" si="30">(C56/100)*((As_of_date-D56)/365)*100</f>
        <v>#NAME?</v>
      </c>
      <c r="I56" s="188" t="e">
        <f t="shared" ca="1" si="23"/>
        <v>#NAME?</v>
      </c>
      <c r="J56" s="189" t="e">
        <f ca="1">_xll.BDP($K56,J$43)*1</f>
        <v>#NAME?</v>
      </c>
      <c r="K56" s="205" t="s">
        <v>123</v>
      </c>
      <c r="L56" s="206"/>
      <c r="N56" s="202"/>
      <c r="O56" s="197"/>
      <c r="P56" s="197"/>
      <c r="Q56" s="198"/>
    </row>
    <row r="57" spans="1:18" x14ac:dyDescent="0.25">
      <c r="A57" s="303"/>
      <c r="B57" s="183" t="s">
        <v>124</v>
      </c>
      <c r="C57" s="17">
        <v>3.47</v>
      </c>
      <c r="D57" s="131" t="e">
        <f ca="1">_xll.BDP($K57,D$43)*1</f>
        <v>#NAME?</v>
      </c>
      <c r="E57" s="207" t="e">
        <f ca="1">_xll.BDP($K57,E$43)*1</f>
        <v>#NAME?</v>
      </c>
      <c r="F57" s="56" t="e">
        <f ca="1">_xll.BDP($K57,F$43)*1</f>
        <v>#NAME?</v>
      </c>
      <c r="G57" s="208" t="e">
        <f t="shared" ref="G57" ca="1" si="31">(E57-As_of_date)/365</f>
        <v>#NAME?</v>
      </c>
      <c r="H57" s="188" t="e">
        <f t="shared" ref="H57" ca="1" si="32">(C57/100)*((As_of_date-D57)/365)*100</f>
        <v>#NAME?</v>
      </c>
      <c r="I57" s="188" t="e">
        <f t="shared" ca="1" si="23"/>
        <v>#NAME?</v>
      </c>
      <c r="J57" s="189" t="e">
        <f ca="1">_xll.BDP($K57,J$43)*1</f>
        <v>#NAME?</v>
      </c>
      <c r="K57" s="205" t="s">
        <v>125</v>
      </c>
      <c r="L57" s="206"/>
      <c r="N57" s="202"/>
      <c r="O57" s="197"/>
      <c r="P57" s="197"/>
      <c r="Q57" s="198"/>
    </row>
    <row r="58" spans="1:18" x14ac:dyDescent="0.25">
      <c r="A58" s="303"/>
      <c r="B58" s="183" t="s">
        <v>126</v>
      </c>
      <c r="C58" s="17">
        <v>2.84</v>
      </c>
      <c r="D58" s="131" t="e">
        <f ca="1">_xll.BDP($K58,D$43)*1</f>
        <v>#NAME?</v>
      </c>
      <c r="E58" s="207" t="e">
        <f ca="1">_xll.BDP($K58,E$43)*1</f>
        <v>#NAME?</v>
      </c>
      <c r="F58" s="56" t="e">
        <f ca="1">_xll.BDP($K58,F$43)*1</f>
        <v>#NAME?</v>
      </c>
      <c r="G58" s="208" t="e">
        <f t="shared" ref="G58" ca="1" si="33">(E58-As_of_date)/365</f>
        <v>#NAME?</v>
      </c>
      <c r="H58" s="188" t="e">
        <f t="shared" ref="H58" ca="1" si="34">(C58/100)*((As_of_date-D58)/365)*100</f>
        <v>#NAME?</v>
      </c>
      <c r="I58" s="188" t="e">
        <f t="shared" ca="1" si="23"/>
        <v>#NAME?</v>
      </c>
      <c r="J58" s="189" t="e">
        <f ca="1">_xll.BDP($K58,J$43)*1</f>
        <v>#NAME?</v>
      </c>
      <c r="K58" s="205" t="s">
        <v>127</v>
      </c>
      <c r="L58" s="206"/>
      <c r="N58" s="202"/>
      <c r="O58" s="197"/>
      <c r="P58" s="197"/>
      <c r="Q58" s="198"/>
    </row>
    <row r="59" spans="1:18" x14ac:dyDescent="0.25">
      <c r="A59" s="303"/>
      <c r="B59" s="183" t="s">
        <v>128</v>
      </c>
      <c r="C59" s="17">
        <v>3.25</v>
      </c>
      <c r="D59" s="131" t="e">
        <f ca="1">_xll.BDP($K59,D$43)*1</f>
        <v>#NAME?</v>
      </c>
      <c r="E59" s="207" t="e">
        <f ca="1">_xll.BDP($K59,E$43)*1</f>
        <v>#NAME?</v>
      </c>
      <c r="F59" s="56" t="e">
        <f ca="1">_xll.BDP($K59,F$43)*1</f>
        <v>#NAME?</v>
      </c>
      <c r="G59" s="208" t="e">
        <f t="shared" ref="G59" ca="1" si="35">(E59-As_of_date)/365</f>
        <v>#NAME?</v>
      </c>
      <c r="H59" s="188" t="e">
        <f t="shared" ref="H59" ca="1" si="36">(C59/100)*((As_of_date-D59)/365)*100</f>
        <v>#NAME?</v>
      </c>
      <c r="I59" s="188" t="e">
        <f t="shared" ca="1" si="23"/>
        <v>#NAME?</v>
      </c>
      <c r="J59" s="189" t="e">
        <f ca="1">_xll.BDP($K59,J$43)*1</f>
        <v>#NAME?</v>
      </c>
      <c r="K59" s="205" t="s">
        <v>129</v>
      </c>
      <c r="L59" s="206"/>
      <c r="N59" s="202"/>
      <c r="O59" s="197"/>
      <c r="P59" s="197"/>
      <c r="Q59" s="198"/>
    </row>
    <row r="60" spans="1:18" x14ac:dyDescent="0.25">
      <c r="A60" s="303"/>
      <c r="B60" s="183" t="s">
        <v>130</v>
      </c>
      <c r="C60" s="17">
        <v>3.1</v>
      </c>
      <c r="D60" s="131" t="e">
        <f ca="1">_xll.BDP($K60,D$43)*1</f>
        <v>#NAME?</v>
      </c>
      <c r="E60" s="207" t="e">
        <f ca="1">_xll.BDP($K60,E$43)*1</f>
        <v>#NAME?</v>
      </c>
      <c r="F60" s="56" t="e">
        <f ca="1">_xll.BDP($K60,F$43)*1</f>
        <v>#NAME?</v>
      </c>
      <c r="G60" s="208" t="e">
        <f t="shared" ref="G60" ca="1" si="37">(E60-As_of_date)/365</f>
        <v>#NAME?</v>
      </c>
      <c r="H60" s="188" t="e">
        <f t="shared" ref="H60" ca="1" si="38">(C60/100)*((As_of_date-D60)/365)*100</f>
        <v>#NAME?</v>
      </c>
      <c r="I60" s="188" t="e">
        <f t="shared" ca="1" si="23"/>
        <v>#NAME?</v>
      </c>
      <c r="J60" s="189" t="e">
        <f ca="1">_xll.BDP($K60,J$43)*1</f>
        <v>#NAME?</v>
      </c>
      <c r="K60" s="205" t="s">
        <v>131</v>
      </c>
      <c r="L60" s="206"/>
      <c r="N60" s="202"/>
      <c r="O60" s="197"/>
      <c r="P60" s="197"/>
      <c r="Q60" s="198"/>
    </row>
    <row r="61" spans="1:18" x14ac:dyDescent="0.25">
      <c r="A61" s="303"/>
      <c r="B61" s="183" t="s">
        <v>132</v>
      </c>
      <c r="C61" s="17">
        <v>4.5</v>
      </c>
      <c r="D61" s="131" t="e">
        <f ca="1">_xll.BDP($K61,D$43)*1</f>
        <v>#NAME?</v>
      </c>
      <c r="E61" s="207" t="e">
        <f ca="1">_xll.BDP($K61,E$43)*1</f>
        <v>#NAME?</v>
      </c>
      <c r="F61" s="56" t="e">
        <f ca="1">_xll.BDP($K61,F$43)*1</f>
        <v>#NAME?</v>
      </c>
      <c r="G61" s="208" t="e">
        <f t="shared" ref="G61" ca="1" si="39">(E61-As_of_date)/365</f>
        <v>#NAME?</v>
      </c>
      <c r="H61" s="188" t="e">
        <f t="shared" ref="H61" ca="1" si="40">(C61/100)*((As_of_date-D61)/365)*100</f>
        <v>#NAME?</v>
      </c>
      <c r="I61" s="188" t="e">
        <f t="shared" ca="1" si="23"/>
        <v>#NAME?</v>
      </c>
      <c r="J61" s="189" t="e">
        <f ca="1">_xll.BDP($K61,J$43)*1</f>
        <v>#NAME?</v>
      </c>
      <c r="K61" s="205" t="s">
        <v>133</v>
      </c>
      <c r="L61" s="206"/>
      <c r="N61" s="202"/>
      <c r="O61" s="197"/>
      <c r="P61" s="197"/>
      <c r="Q61" s="198"/>
    </row>
    <row r="62" spans="1:18" x14ac:dyDescent="0.25">
      <c r="A62" s="303"/>
      <c r="B62" s="183" t="s">
        <v>134</v>
      </c>
      <c r="C62" s="17">
        <v>3.58</v>
      </c>
      <c r="D62" s="131" t="e">
        <f ca="1">_xll.BDP($K62,D$43)*1</f>
        <v>#NAME?</v>
      </c>
      <c r="E62" s="207" t="e">
        <f ca="1">_xll.BDP($K62,E$43)*1</f>
        <v>#NAME?</v>
      </c>
      <c r="F62" s="56" t="e">
        <f ca="1">_xll.BDP($K62,F$43)*1</f>
        <v>#NAME?</v>
      </c>
      <c r="G62" s="208" t="e">
        <f t="shared" ref="G62" ca="1" si="41">(E62-As_of_date)/365</f>
        <v>#NAME?</v>
      </c>
      <c r="H62" s="188" t="e">
        <f t="shared" ref="H62" ca="1" si="42">(C62/100)*((As_of_date-D62)/365)*100</f>
        <v>#NAME?</v>
      </c>
      <c r="I62" s="188" t="e">
        <f t="shared" ca="1" si="23"/>
        <v>#NAME?</v>
      </c>
      <c r="J62" s="189" t="e">
        <f ca="1">_xll.BDP($K62,J$43)*1</f>
        <v>#NAME?</v>
      </c>
      <c r="K62" s="205" t="s">
        <v>135</v>
      </c>
      <c r="L62" s="206"/>
      <c r="N62" s="202"/>
      <c r="O62" s="197"/>
      <c r="P62" s="197"/>
      <c r="Q62" s="198"/>
    </row>
    <row r="63" spans="1:18" ht="15.75" thickBot="1" x14ac:dyDescent="0.3">
      <c r="A63" s="304"/>
      <c r="B63" s="209"/>
      <c r="C63" s="28"/>
      <c r="D63" s="166"/>
      <c r="E63" s="210"/>
      <c r="F63" s="160"/>
      <c r="G63" s="211"/>
      <c r="H63" s="212"/>
      <c r="I63" s="212"/>
      <c r="J63" s="213"/>
      <c r="K63" s="214"/>
      <c r="L63" s="206"/>
      <c r="N63" s="202"/>
      <c r="O63" s="197"/>
      <c r="P63" s="197"/>
      <c r="Q63" s="198"/>
    </row>
    <row r="64" spans="1:18" x14ac:dyDescent="0.25">
      <c r="A64" s="299" t="s">
        <v>136</v>
      </c>
      <c r="B64" s="183" t="s">
        <v>137</v>
      </c>
      <c r="C64" s="56"/>
      <c r="D64" s="184"/>
      <c r="E64" s="185"/>
      <c r="F64" s="17"/>
      <c r="G64" s="186"/>
      <c r="H64" s="187"/>
      <c r="I64" s="188"/>
      <c r="J64" s="189"/>
      <c r="K64" s="214" t="s">
        <v>138</v>
      </c>
      <c r="L64" s="206"/>
      <c r="N64" s="202"/>
      <c r="O64" s="197"/>
      <c r="P64" s="197"/>
      <c r="Q64" s="198"/>
    </row>
    <row r="65" spans="1:17" x14ac:dyDescent="0.25">
      <c r="A65" s="300"/>
      <c r="B65" s="183"/>
      <c r="C65" s="56"/>
      <c r="D65" s="184"/>
      <c r="E65" s="185"/>
      <c r="F65" s="17"/>
      <c r="G65" s="186"/>
      <c r="H65" s="187"/>
      <c r="I65" s="188"/>
      <c r="J65" s="189"/>
      <c r="K65" s="214"/>
      <c r="L65" s="206"/>
      <c r="N65" s="202"/>
      <c r="O65" s="197"/>
      <c r="P65" s="197"/>
      <c r="Q65" s="198"/>
    </row>
    <row r="66" spans="1:17" x14ac:dyDescent="0.25">
      <c r="A66" s="300"/>
      <c r="B66" s="183"/>
      <c r="C66" s="56"/>
      <c r="D66" s="184"/>
      <c r="E66" s="185"/>
      <c r="F66" s="17"/>
      <c r="G66" s="186"/>
      <c r="H66" s="187"/>
      <c r="I66" s="188"/>
      <c r="J66" s="189"/>
      <c r="K66" s="214"/>
      <c r="L66" s="206"/>
      <c r="N66" s="202"/>
      <c r="O66" s="197"/>
      <c r="P66" s="197"/>
      <c r="Q66" s="198"/>
    </row>
    <row r="67" spans="1:17" x14ac:dyDescent="0.25">
      <c r="A67" s="300"/>
      <c r="B67" s="183"/>
      <c r="C67" s="56"/>
      <c r="D67" s="184"/>
      <c r="E67" s="185"/>
      <c r="F67" s="17"/>
      <c r="G67" s="186"/>
      <c r="H67" s="187"/>
      <c r="I67" s="188"/>
      <c r="J67" s="189"/>
      <c r="K67" s="214"/>
      <c r="L67" s="206"/>
      <c r="N67" s="202"/>
      <c r="O67" s="197"/>
      <c r="P67" s="197"/>
      <c r="Q67" s="198"/>
    </row>
    <row r="68" spans="1:17" ht="15.75" thickBot="1" x14ac:dyDescent="0.3">
      <c r="A68" s="301"/>
      <c r="B68" s="209"/>
      <c r="C68" s="160"/>
      <c r="D68" s="215"/>
      <c r="E68" s="216"/>
      <c r="F68" s="28"/>
      <c r="G68" s="217"/>
      <c r="H68" s="218"/>
      <c r="I68" s="212"/>
      <c r="J68" s="213"/>
      <c r="K68" s="214"/>
      <c r="L68" s="206"/>
      <c r="N68" s="202"/>
      <c r="O68" s="197"/>
      <c r="P68" s="197"/>
      <c r="Q68" s="198"/>
    </row>
    <row r="69" spans="1:17" ht="15" customHeight="1" x14ac:dyDescent="0.25">
      <c r="A69" s="305" t="s">
        <v>139</v>
      </c>
      <c r="B69" s="56" t="s">
        <v>140</v>
      </c>
      <c r="C69" s="56" t="e">
        <f ca="1">_xll.BDP($B69,C$43)</f>
        <v>#NAME?</v>
      </c>
      <c r="D69" s="184" t="e">
        <f ca="1">_xll.BDP($B69,D$43)*1</f>
        <v>#NAME?</v>
      </c>
      <c r="E69" s="185" t="e">
        <f ca="1">_xll.BDP($B69,E$43)*1</f>
        <v>#NAME?</v>
      </c>
      <c r="F69" s="17" t="e">
        <f ca="1">_xll.BDP($B69,F$43)*1</f>
        <v>#NAME?</v>
      </c>
      <c r="G69" s="186" t="e">
        <f t="shared" ca="1" si="21"/>
        <v>#NAME?</v>
      </c>
      <c r="H69" s="187" t="e">
        <f t="shared" ca="1" si="22"/>
        <v>#NAME?</v>
      </c>
      <c r="I69" s="187" t="e">
        <f t="shared" ca="1" si="23"/>
        <v>#NAME?</v>
      </c>
      <c r="J69" s="17" t="e">
        <f ca="1">_xll.BDP($B69,J$43)*1</f>
        <v>#NAME?</v>
      </c>
      <c r="N69" s="202"/>
      <c r="O69" s="197"/>
      <c r="P69" s="197"/>
      <c r="Q69" s="198"/>
    </row>
    <row r="70" spans="1:17" x14ac:dyDescent="0.25">
      <c r="A70" s="306"/>
      <c r="B70" s="56" t="s">
        <v>141</v>
      </c>
      <c r="C70" s="56" t="e">
        <f ca="1">_xll.BDP($B70,C$43)</f>
        <v>#NAME?</v>
      </c>
      <c r="D70" s="184" t="e">
        <f ca="1">_xll.BDP($B70,D$43)*1</f>
        <v>#NAME?</v>
      </c>
      <c r="E70" s="185" t="e">
        <f ca="1">_xll.BDP($B70,E$43)*1</f>
        <v>#NAME?</v>
      </c>
      <c r="F70" s="17" t="e">
        <f ca="1">_xll.BDP($B70,F$43)*1</f>
        <v>#NAME?</v>
      </c>
      <c r="G70" s="186" t="e">
        <f t="shared" ca="1" si="21"/>
        <v>#NAME?</v>
      </c>
      <c r="H70" s="187" t="e">
        <f t="shared" ca="1" si="22"/>
        <v>#NAME?</v>
      </c>
      <c r="I70" s="187" t="e">
        <f t="shared" ca="1" si="23"/>
        <v>#NAME?</v>
      </c>
      <c r="J70" s="17" t="e">
        <f ca="1">_xll.BDP($B70,J$43)*1</f>
        <v>#NAME?</v>
      </c>
      <c r="N70" s="202"/>
      <c r="O70" s="197"/>
      <c r="P70" s="197"/>
      <c r="Q70" s="198"/>
    </row>
    <row r="71" spans="1:17" x14ac:dyDescent="0.25">
      <c r="A71" s="306"/>
      <c r="B71" s="56" t="s">
        <v>142</v>
      </c>
      <c r="C71" s="56" t="e">
        <f ca="1">_xll.BDP($B71,C$43)</f>
        <v>#NAME?</v>
      </c>
      <c r="D71" s="184" t="e">
        <f ca="1">_xll.BDP($B71,D$43)*1</f>
        <v>#NAME?</v>
      </c>
      <c r="E71" s="185" t="e">
        <f ca="1">_xll.BDP($B71,E$43)*1</f>
        <v>#NAME?</v>
      </c>
      <c r="F71" s="17" t="e">
        <f ca="1">_xll.BDP($B71,F$43)*1</f>
        <v>#NAME?</v>
      </c>
      <c r="G71" s="186" t="e">
        <f t="shared" ca="1" si="21"/>
        <v>#NAME?</v>
      </c>
      <c r="H71" s="187" t="e">
        <f t="shared" ca="1" si="22"/>
        <v>#NAME?</v>
      </c>
      <c r="I71" s="187" t="e">
        <f t="shared" ca="1" si="23"/>
        <v>#NAME?</v>
      </c>
      <c r="J71" s="17" t="e">
        <f ca="1">_xll.BDP($B71,J$43)*1</f>
        <v>#NAME?</v>
      </c>
      <c r="K71" s="219"/>
      <c r="N71" s="202"/>
      <c r="O71" s="197"/>
      <c r="P71" s="197"/>
      <c r="Q71" s="198"/>
    </row>
    <row r="72" spans="1:17" x14ac:dyDescent="0.25">
      <c r="A72" s="306"/>
      <c r="B72" s="56" t="s">
        <v>143</v>
      </c>
      <c r="C72" s="56" t="e">
        <f ca="1">_xll.BDP($B72,C$43)</f>
        <v>#NAME?</v>
      </c>
      <c r="D72" s="184" t="e">
        <f ca="1">_xll.BDP($B72,D$43)*1</f>
        <v>#NAME?</v>
      </c>
      <c r="E72" s="185" t="e">
        <f ca="1">_xll.BDP($B72,E$43)*1</f>
        <v>#NAME?</v>
      </c>
      <c r="F72" s="17" t="e">
        <f ca="1">_xll.BDP($B72,F$43)*1</f>
        <v>#NAME?</v>
      </c>
      <c r="G72" s="186" t="e">
        <f t="shared" ca="1" si="21"/>
        <v>#NAME?</v>
      </c>
      <c r="H72" s="187" t="e">
        <f t="shared" ca="1" si="22"/>
        <v>#NAME?</v>
      </c>
      <c r="I72" s="187" t="e">
        <f t="shared" ca="1" si="23"/>
        <v>#NAME?</v>
      </c>
      <c r="J72" s="17" t="e">
        <f ca="1">_xll.BDP($B72,J$43)*1</f>
        <v>#NAME?</v>
      </c>
      <c r="N72" s="202"/>
      <c r="O72" s="197"/>
      <c r="P72" s="197"/>
      <c r="Q72" s="198"/>
    </row>
    <row r="73" spans="1:17" ht="15.75" thickBot="1" x14ac:dyDescent="0.3">
      <c r="A73" s="306"/>
      <c r="B73" s="160" t="s">
        <v>144</v>
      </c>
      <c r="C73" s="160" t="e">
        <f ca="1">_xll.BDP($B73,C$43)</f>
        <v>#NAME?</v>
      </c>
      <c r="D73" s="215" t="e">
        <f ca="1">_xll.BDP($B73,D$43)*1</f>
        <v>#NAME?</v>
      </c>
      <c r="E73" s="216" t="e">
        <f ca="1">_xll.BDP($B73,E$43)*1</f>
        <v>#NAME?</v>
      </c>
      <c r="F73" s="28" t="e">
        <f ca="1">_xll.BDP($B73,F$43)*1</f>
        <v>#NAME?</v>
      </c>
      <c r="G73" s="217" t="e">
        <f t="shared" ca="1" si="21"/>
        <v>#NAME?</v>
      </c>
      <c r="H73" s="218" t="e">
        <f t="shared" ca="1" si="22"/>
        <v>#NAME?</v>
      </c>
      <c r="I73" s="218" t="e">
        <f t="shared" ca="1" si="23"/>
        <v>#NAME?</v>
      </c>
      <c r="J73" s="28" t="e">
        <f ca="1">_xll.BDP($B73,J$43)*1</f>
        <v>#NAME?</v>
      </c>
      <c r="N73" s="202"/>
      <c r="O73" s="197"/>
      <c r="P73" s="197"/>
      <c r="Q73" s="198"/>
    </row>
    <row r="74" spans="1:17" x14ac:dyDescent="0.25">
      <c r="A74" s="306"/>
      <c r="B74" s="41" t="s">
        <v>145</v>
      </c>
      <c r="C74" s="41" t="e">
        <f ca="1">_xll.BDP($B74,C$43)</f>
        <v>#NAME?</v>
      </c>
      <c r="D74" s="175" t="e">
        <f ca="1">_xll.BDP($B74,D$43)*1</f>
        <v>#NAME?</v>
      </c>
      <c r="E74" s="176" t="e">
        <f ca="1">_xll.BDP($B74,E$43)*1</f>
        <v>#NAME?</v>
      </c>
      <c r="F74" s="13" t="e">
        <f ca="1">_xll.BDP($B74,F$43)*1</f>
        <v>#NAME?</v>
      </c>
      <c r="G74" s="177" t="e">
        <f t="shared" ca="1" si="21"/>
        <v>#NAME?</v>
      </c>
      <c r="H74" s="178" t="e">
        <f t="shared" ca="1" si="22"/>
        <v>#NAME?</v>
      </c>
      <c r="I74" s="178" t="e">
        <f t="shared" ca="1" si="23"/>
        <v>#NAME?</v>
      </c>
      <c r="J74" s="13" t="e">
        <f ca="1">_xll.BDP($B74,J$43)*1</f>
        <v>#NAME?</v>
      </c>
      <c r="K74" s="5" t="s">
        <v>146</v>
      </c>
      <c r="N74" s="202"/>
      <c r="O74" s="197"/>
      <c r="P74" s="197"/>
      <c r="Q74" s="198"/>
    </row>
    <row r="75" spans="1:17" x14ac:dyDescent="0.25">
      <c r="A75" s="306"/>
      <c r="B75" s="56" t="s">
        <v>147</v>
      </c>
      <c r="C75" s="56" t="e">
        <f ca="1">_xll.BDP($B75,C$43)</f>
        <v>#NAME?</v>
      </c>
      <c r="D75" s="184" t="e">
        <f ca="1">_xll.BDP($B75,D$43)*1</f>
        <v>#NAME?</v>
      </c>
      <c r="E75" s="185" t="e">
        <f ca="1">_xll.BDP($B75,E$43)*1</f>
        <v>#NAME?</v>
      </c>
      <c r="F75" s="17" t="e">
        <f ca="1">_xll.BDP($B75,F$43)*1</f>
        <v>#NAME?</v>
      </c>
      <c r="G75" s="186" t="e">
        <f t="shared" ca="1" si="21"/>
        <v>#NAME?</v>
      </c>
      <c r="H75" s="187" t="e">
        <f t="shared" ca="1" si="22"/>
        <v>#NAME?</v>
      </c>
      <c r="I75" s="187" t="e">
        <f t="shared" ca="1" si="23"/>
        <v>#NAME?</v>
      </c>
      <c r="J75" s="17" t="e">
        <f ca="1">_xll.BDP($B75,J$43)*1</f>
        <v>#NAME?</v>
      </c>
      <c r="K75" s="5" t="s">
        <v>146</v>
      </c>
      <c r="N75" s="202"/>
      <c r="O75" s="197"/>
      <c r="P75" s="197"/>
      <c r="Q75" s="198"/>
    </row>
    <row r="76" spans="1:17" x14ac:dyDescent="0.25">
      <c r="A76" s="306"/>
      <c r="B76" s="56" t="s">
        <v>148</v>
      </c>
      <c r="C76" s="56" t="e">
        <f ca="1">_xll.BDP($B76,C$43)</f>
        <v>#NAME?</v>
      </c>
      <c r="D76" s="184" t="e">
        <f ca="1">_xll.BDP($B76,D$43)*1</f>
        <v>#NAME?</v>
      </c>
      <c r="E76" s="185" t="e">
        <f ca="1">_xll.BDP($B76,E$43)*1</f>
        <v>#NAME?</v>
      </c>
      <c r="F76" s="17" t="e">
        <f ca="1">_xll.BDP($B76,F$43)*1</f>
        <v>#NAME?</v>
      </c>
      <c r="G76" s="186" t="e">
        <f t="shared" ca="1" si="21"/>
        <v>#NAME?</v>
      </c>
      <c r="H76" s="187" t="e">
        <f t="shared" ca="1" si="22"/>
        <v>#NAME?</v>
      </c>
      <c r="I76" s="187" t="e">
        <f t="shared" ca="1" si="23"/>
        <v>#NAME?</v>
      </c>
      <c r="J76" s="17" t="e">
        <f ca="1">_xll.BDP($B76,J$43)*1</f>
        <v>#NAME?</v>
      </c>
      <c r="K76" s="5" t="s">
        <v>146</v>
      </c>
      <c r="N76" s="202"/>
      <c r="O76" s="197"/>
      <c r="P76" s="197"/>
      <c r="Q76" s="198"/>
    </row>
    <row r="77" spans="1:17" x14ac:dyDescent="0.25">
      <c r="A77" s="306"/>
      <c r="B77" s="56" t="s">
        <v>149</v>
      </c>
      <c r="C77" s="56" t="e">
        <f ca="1">_xll.BDP($B77,C$43)</f>
        <v>#NAME?</v>
      </c>
      <c r="D77" s="184" t="e">
        <f ca="1">_xll.BDP($B77,D$43)*1</f>
        <v>#NAME?</v>
      </c>
      <c r="E77" s="185" t="e">
        <f ca="1">_xll.BDP($B77,E$43)*1</f>
        <v>#NAME?</v>
      </c>
      <c r="F77" s="17" t="e">
        <f ca="1">_xll.BDP($B77,F$43)*1</f>
        <v>#NAME?</v>
      </c>
      <c r="G77" s="186" t="e">
        <f t="shared" ca="1" si="21"/>
        <v>#NAME?</v>
      </c>
      <c r="H77" s="187" t="e">
        <f t="shared" ca="1" si="22"/>
        <v>#NAME?</v>
      </c>
      <c r="I77" s="187" t="e">
        <f t="shared" ca="1" si="23"/>
        <v>#NAME?</v>
      </c>
      <c r="J77" s="17" t="e">
        <f ca="1">_xll.BDP($B77,J$43)*1</f>
        <v>#NAME?</v>
      </c>
      <c r="K77" s="5" t="s">
        <v>146</v>
      </c>
      <c r="N77" s="202"/>
      <c r="O77" s="197"/>
      <c r="P77" s="197"/>
      <c r="Q77" s="198"/>
    </row>
    <row r="78" spans="1:17" ht="15.75" thickBot="1" x14ac:dyDescent="0.3">
      <c r="A78" s="306"/>
      <c r="B78" s="160" t="s">
        <v>150</v>
      </c>
      <c r="C78" s="160" t="e">
        <f ca="1">_xll.BDP($B78,C$43)</f>
        <v>#NAME?</v>
      </c>
      <c r="D78" s="215" t="e">
        <f ca="1">_xll.BDP($B78,D$43)*1</f>
        <v>#NAME?</v>
      </c>
      <c r="E78" s="216" t="e">
        <f ca="1">_xll.BDP($B78,E$43)*1</f>
        <v>#NAME?</v>
      </c>
      <c r="F78" s="28" t="e">
        <f ca="1">_xll.BDP($B78,F$43)*1</f>
        <v>#NAME?</v>
      </c>
      <c r="G78" s="217" t="e">
        <f t="shared" ca="1" si="21"/>
        <v>#NAME?</v>
      </c>
      <c r="H78" s="218" t="e">
        <f t="shared" ca="1" si="22"/>
        <v>#NAME?</v>
      </c>
      <c r="I78" s="218" t="e">
        <f t="shared" ca="1" si="23"/>
        <v>#NAME?</v>
      </c>
      <c r="J78" s="28" t="e">
        <f ca="1">_xll.BDP($B78,J$43)*1</f>
        <v>#NAME?</v>
      </c>
      <c r="K78" s="5" t="s">
        <v>146</v>
      </c>
      <c r="N78" s="202"/>
      <c r="O78" s="197"/>
      <c r="P78" s="197"/>
      <c r="Q78" s="198"/>
    </row>
    <row r="79" spans="1:17" x14ac:dyDescent="0.25">
      <c r="A79" s="306"/>
      <c r="B79" s="41" t="s">
        <v>151</v>
      </c>
      <c r="C79" s="41" t="e">
        <f ca="1">_xll.BDP($B79,C$43)</f>
        <v>#NAME?</v>
      </c>
      <c r="D79" s="175" t="e">
        <f ca="1">_xll.BDP($B79,D$43)*1</f>
        <v>#NAME?</v>
      </c>
      <c r="E79" s="176" t="e">
        <f ca="1">_xll.BDP($B79,E$43)*1</f>
        <v>#NAME?</v>
      </c>
      <c r="F79" s="13" t="e">
        <f ca="1">_xll.BDP($B79,F$43)*1</f>
        <v>#NAME?</v>
      </c>
      <c r="G79" s="177" t="e">
        <f t="shared" ref="G79:G120" ca="1" si="43">(E79-As_of_date)/365</f>
        <v>#NAME?</v>
      </c>
      <c r="H79" s="178" t="e">
        <f t="shared" ref="H79:H120" ca="1" si="44">(C79/100)*((As_of_date-D79)/365)*100</f>
        <v>#NAME?</v>
      </c>
      <c r="I79" s="178" t="e">
        <f t="shared" ca="1" si="23"/>
        <v>#NAME?</v>
      </c>
      <c r="J79" s="13" t="e">
        <f ca="1">_xll.BDP($B79,J$43)*1</f>
        <v>#NAME?</v>
      </c>
      <c r="K79" s="5" t="s">
        <v>152</v>
      </c>
      <c r="N79" s="202"/>
      <c r="O79" s="197"/>
      <c r="P79" s="197"/>
      <c r="Q79" s="198"/>
    </row>
    <row r="80" spans="1:17" x14ac:dyDescent="0.25">
      <c r="A80" s="306"/>
      <c r="B80" s="56" t="s">
        <v>153</v>
      </c>
      <c r="C80" s="56" t="e">
        <f ca="1">_xll.BDP($B80,C$43)</f>
        <v>#NAME?</v>
      </c>
      <c r="D80" s="184" t="e">
        <f ca="1">_xll.BDP($B80,D$43)*1</f>
        <v>#NAME?</v>
      </c>
      <c r="E80" s="185" t="e">
        <f ca="1">_xll.BDP($B80,E$43)*1</f>
        <v>#NAME?</v>
      </c>
      <c r="F80" s="17" t="e">
        <f ca="1">_xll.BDP($B80,F$43)*1</f>
        <v>#NAME?</v>
      </c>
      <c r="G80" s="186" t="e">
        <f t="shared" ca="1" si="43"/>
        <v>#NAME?</v>
      </c>
      <c r="H80" s="187" t="e">
        <f t="shared" ca="1" si="44"/>
        <v>#NAME?</v>
      </c>
      <c r="I80" s="187" t="e">
        <f t="shared" ca="1" si="23"/>
        <v>#NAME?</v>
      </c>
      <c r="J80" s="17" t="e">
        <f ca="1">_xll.BDP($B80,J$43)*1</f>
        <v>#NAME?</v>
      </c>
      <c r="K80" s="5" t="s">
        <v>152</v>
      </c>
      <c r="N80" s="202"/>
      <c r="O80" s="197"/>
      <c r="P80" s="197"/>
      <c r="Q80" s="198"/>
    </row>
    <row r="81" spans="1:17" x14ac:dyDescent="0.25">
      <c r="A81" s="306"/>
      <c r="B81" s="56" t="s">
        <v>154</v>
      </c>
      <c r="C81" s="56" t="e">
        <f ca="1">_xll.BDP($B81,C$43)</f>
        <v>#NAME?</v>
      </c>
      <c r="D81" s="184" t="e">
        <f ca="1">_xll.BDP($B81,D$43)*1</f>
        <v>#NAME?</v>
      </c>
      <c r="E81" s="185" t="e">
        <f ca="1">_xll.BDP($B81,E$43)*1</f>
        <v>#NAME?</v>
      </c>
      <c r="F81" s="17" t="e">
        <f ca="1">_xll.BDP($B81,F$43)*1</f>
        <v>#NAME?</v>
      </c>
      <c r="G81" s="186" t="e">
        <f t="shared" ca="1" si="43"/>
        <v>#NAME?</v>
      </c>
      <c r="H81" s="187" t="e">
        <f t="shared" ca="1" si="44"/>
        <v>#NAME?</v>
      </c>
      <c r="I81" s="187" t="e">
        <f t="shared" ca="1" si="23"/>
        <v>#NAME?</v>
      </c>
      <c r="J81" s="17" t="e">
        <f ca="1">_xll.BDP($B81,J$43)*1</f>
        <v>#NAME?</v>
      </c>
      <c r="K81" s="5" t="s">
        <v>152</v>
      </c>
      <c r="N81" s="202"/>
      <c r="O81" s="197"/>
      <c r="P81" s="197"/>
      <c r="Q81" s="198"/>
    </row>
    <row r="82" spans="1:17" ht="15.75" thickBot="1" x14ac:dyDescent="0.3">
      <c r="A82" s="306"/>
      <c r="B82" s="160" t="s">
        <v>155</v>
      </c>
      <c r="C82" s="160" t="e">
        <f ca="1">_xll.BDP($B82,C$43)</f>
        <v>#NAME?</v>
      </c>
      <c r="D82" s="215" t="e">
        <f ca="1">_xll.BDP($B82,D$43)*1</f>
        <v>#NAME?</v>
      </c>
      <c r="E82" s="216" t="e">
        <f ca="1">_xll.BDP($B82,E$43)*1</f>
        <v>#NAME?</v>
      </c>
      <c r="F82" s="28" t="e">
        <f ca="1">_xll.BDP($B82,F$43)*1</f>
        <v>#NAME?</v>
      </c>
      <c r="G82" s="217" t="e">
        <f t="shared" ca="1" si="43"/>
        <v>#NAME?</v>
      </c>
      <c r="H82" s="218" t="e">
        <f t="shared" ca="1" si="44"/>
        <v>#NAME?</v>
      </c>
      <c r="I82" s="218" t="e">
        <f t="shared" ca="1" si="23"/>
        <v>#NAME?</v>
      </c>
      <c r="J82" s="28" t="e">
        <f ca="1">_xll.BDP($B82,J$43)*1</f>
        <v>#NAME?</v>
      </c>
      <c r="K82" s="5" t="s">
        <v>152</v>
      </c>
      <c r="N82" s="202"/>
      <c r="O82" s="197"/>
      <c r="P82" s="197"/>
      <c r="Q82" s="198"/>
    </row>
    <row r="83" spans="1:17" x14ac:dyDescent="0.25">
      <c r="A83" s="306"/>
      <c r="B83" s="41" t="s">
        <v>156</v>
      </c>
      <c r="C83" s="41" t="e">
        <f ca="1">_xll.BDP($B83,C$43)</f>
        <v>#NAME?</v>
      </c>
      <c r="D83" s="175" t="e">
        <f ca="1">_xll.BDP($B83,D$43)*1</f>
        <v>#NAME?</v>
      </c>
      <c r="E83" s="176" t="e">
        <f ca="1">_xll.BDP($B83,E$43)*1</f>
        <v>#NAME?</v>
      </c>
      <c r="F83" s="13" t="e">
        <f ca="1">_xll.BDP($B83,F$43)*1</f>
        <v>#NAME?</v>
      </c>
      <c r="G83" s="177" t="e">
        <f t="shared" ca="1" si="43"/>
        <v>#NAME?</v>
      </c>
      <c r="H83" s="178" t="e">
        <f t="shared" ca="1" si="44"/>
        <v>#NAME?</v>
      </c>
      <c r="I83" s="178" t="e">
        <f t="shared" ca="1" si="23"/>
        <v>#NAME?</v>
      </c>
      <c r="J83" s="13" t="e">
        <f ca="1">_xll.BDP($B83,J$43)*1</f>
        <v>#NAME?</v>
      </c>
      <c r="K83" s="5" t="s">
        <v>157</v>
      </c>
      <c r="N83" s="202"/>
      <c r="O83" s="197"/>
      <c r="P83" s="197"/>
      <c r="Q83" s="198"/>
    </row>
    <row r="84" spans="1:17" x14ac:dyDescent="0.25">
      <c r="A84" s="306"/>
      <c r="B84" s="56" t="s">
        <v>158</v>
      </c>
      <c r="C84" s="56" t="e">
        <f ca="1">_xll.BDP($B84,C$43)</f>
        <v>#NAME?</v>
      </c>
      <c r="D84" s="184" t="e">
        <f ca="1">_xll.BDP($B84,D$43)*1</f>
        <v>#NAME?</v>
      </c>
      <c r="E84" s="185" t="e">
        <f ca="1">_xll.BDP($B84,E$43)*1</f>
        <v>#NAME?</v>
      </c>
      <c r="F84" s="17" t="e">
        <f ca="1">_xll.BDP($B84,F$43)*1</f>
        <v>#NAME?</v>
      </c>
      <c r="G84" s="186" t="e">
        <f t="shared" ca="1" si="43"/>
        <v>#NAME?</v>
      </c>
      <c r="H84" s="187" t="e">
        <f t="shared" ca="1" si="44"/>
        <v>#NAME?</v>
      </c>
      <c r="I84" s="187" t="e">
        <f t="shared" ca="1" si="23"/>
        <v>#NAME?</v>
      </c>
      <c r="J84" s="17" t="e">
        <f ca="1">_xll.BDP($B84,J$43)*1</f>
        <v>#NAME?</v>
      </c>
      <c r="K84" s="5" t="s">
        <v>157</v>
      </c>
      <c r="N84" s="202"/>
      <c r="O84" s="197"/>
      <c r="P84" s="197"/>
      <c r="Q84" s="198"/>
    </row>
    <row r="85" spans="1:17" x14ac:dyDescent="0.25">
      <c r="A85" s="306"/>
      <c r="B85" s="56" t="s">
        <v>159</v>
      </c>
      <c r="C85" s="56" t="e">
        <f ca="1">_xll.BDP($B85,C$43)</f>
        <v>#NAME?</v>
      </c>
      <c r="D85" s="184" t="e">
        <f ca="1">_xll.BDP($B85,D$43)*1</f>
        <v>#NAME?</v>
      </c>
      <c r="E85" s="185" t="e">
        <f ca="1">_xll.BDP($B85,E$43)*1</f>
        <v>#NAME?</v>
      </c>
      <c r="F85" s="17" t="e">
        <f ca="1">_xll.BDP($B85,F$43)*1</f>
        <v>#NAME?</v>
      </c>
      <c r="G85" s="186" t="e">
        <f t="shared" ca="1" si="43"/>
        <v>#NAME?</v>
      </c>
      <c r="H85" s="187" t="e">
        <f t="shared" ca="1" si="44"/>
        <v>#NAME?</v>
      </c>
      <c r="I85" s="187" t="e">
        <f t="shared" ca="1" si="23"/>
        <v>#NAME?</v>
      </c>
      <c r="J85" s="17" t="e">
        <f ca="1">_xll.BDP($B85,J$43)*1</f>
        <v>#NAME?</v>
      </c>
      <c r="K85" s="5" t="s">
        <v>160</v>
      </c>
      <c r="N85" s="202"/>
      <c r="O85" s="197"/>
      <c r="P85" s="197"/>
      <c r="Q85" s="198"/>
    </row>
    <row r="86" spans="1:17" ht="15.75" thickBot="1" x14ac:dyDescent="0.3">
      <c r="A86" s="307"/>
      <c r="B86" s="160" t="s">
        <v>161</v>
      </c>
      <c r="C86" s="160" t="e">
        <f ca="1">_xll.BDP($B86,C$43)</f>
        <v>#NAME?</v>
      </c>
      <c r="D86" s="215" t="e">
        <f ca="1">_xll.BDP($B86,D$43)*1</f>
        <v>#NAME?</v>
      </c>
      <c r="E86" s="216" t="e">
        <f ca="1">_xll.BDP($B86,E$43)*1</f>
        <v>#NAME?</v>
      </c>
      <c r="F86" s="28" t="e">
        <f ca="1">_xll.BDP($B86,F$43)*1</f>
        <v>#NAME?</v>
      </c>
      <c r="G86" s="217" t="e">
        <f t="shared" ca="1" si="43"/>
        <v>#NAME?</v>
      </c>
      <c r="H86" s="218" t="e">
        <f t="shared" ca="1" si="44"/>
        <v>#NAME?</v>
      </c>
      <c r="I86" s="218" t="e">
        <f t="shared" ca="1" si="23"/>
        <v>#NAME?</v>
      </c>
      <c r="J86" s="28" t="e">
        <f ca="1">_xll.BDP($B86,J$43)*1</f>
        <v>#NAME?</v>
      </c>
      <c r="K86" s="5" t="s">
        <v>160</v>
      </c>
      <c r="N86" s="202"/>
      <c r="O86" s="197"/>
      <c r="P86" s="197"/>
      <c r="Q86" s="198"/>
    </row>
    <row r="87" spans="1:17" x14ac:dyDescent="0.25">
      <c r="A87" s="305" t="s">
        <v>162</v>
      </c>
      <c r="B87" s="5" t="e">
        <f ca="1">K87&amp;" "&amp;C87&amp;" "&amp;" "&amp;YEAR(E87)</f>
        <v>#NAME?</v>
      </c>
      <c r="C87" s="56" t="e">
        <f ca="1">_xll.BDP($M87,C$43)</f>
        <v>#NAME?</v>
      </c>
      <c r="D87" s="184" t="e">
        <f ca="1">_xll.BDP($M87,D$43)*1</f>
        <v>#NAME?</v>
      </c>
      <c r="E87" s="185" t="e">
        <f ca="1">_xll.BDP($M87,E$43)*1</f>
        <v>#NAME?</v>
      </c>
      <c r="F87" s="17" t="e">
        <f ca="1">_xll.BDP($M87,F$43)*1</f>
        <v>#NAME?</v>
      </c>
      <c r="G87" s="186" t="e">
        <f t="shared" ca="1" si="43"/>
        <v>#NAME?</v>
      </c>
      <c r="H87" s="187" t="e">
        <f t="shared" ca="1" si="44"/>
        <v>#NAME?</v>
      </c>
      <c r="I87" s="187" t="e">
        <f t="shared" ca="1" si="23"/>
        <v>#NAME?</v>
      </c>
      <c r="J87" s="17" t="e">
        <f ca="1">_xll.BDP($M87,J$43)*1</f>
        <v>#NAME?</v>
      </c>
      <c r="K87" s="5" t="s">
        <v>163</v>
      </c>
      <c r="M87" s="41" t="s">
        <v>164</v>
      </c>
      <c r="N87" s="220"/>
      <c r="O87" s="197"/>
      <c r="P87" s="197"/>
      <c r="Q87" s="198"/>
    </row>
    <row r="88" spans="1:17" x14ac:dyDescent="0.25">
      <c r="A88" s="306"/>
      <c r="B88" s="5" t="e">
        <f ca="1">K88&amp;" "&amp;C88&amp;" "&amp;" "&amp;YEAR(E88)</f>
        <v>#NAME?</v>
      </c>
      <c r="C88" s="56" t="e">
        <f ca="1">_xll.BDP($M88,C$43)</f>
        <v>#NAME?</v>
      </c>
      <c r="D88" s="184" t="e">
        <f ca="1">_xll.BDP($M88,D$43)*1</f>
        <v>#NAME?</v>
      </c>
      <c r="E88" s="185" t="e">
        <f ca="1">_xll.BDP($M88,E$43)*1</f>
        <v>#NAME?</v>
      </c>
      <c r="F88" s="17" t="e">
        <f ca="1">_xll.BDP($M88,F$43)*1</f>
        <v>#NAME?</v>
      </c>
      <c r="G88" s="186" t="e">
        <f t="shared" ca="1" si="43"/>
        <v>#NAME?</v>
      </c>
      <c r="H88" s="187" t="e">
        <f t="shared" ca="1" si="44"/>
        <v>#NAME?</v>
      </c>
      <c r="I88" s="187" t="e">
        <f t="shared" ca="1" si="23"/>
        <v>#NAME?</v>
      </c>
      <c r="J88" s="17" t="e">
        <f ca="1">_xll.BDP($M88,J$43)*1</f>
        <v>#NAME?</v>
      </c>
      <c r="K88" s="5" t="s">
        <v>163</v>
      </c>
      <c r="M88" s="56" t="s">
        <v>165</v>
      </c>
      <c r="N88" s="221"/>
      <c r="O88" s="197"/>
      <c r="P88" s="197"/>
      <c r="Q88" s="198"/>
    </row>
    <row r="89" spans="1:17" x14ac:dyDescent="0.25">
      <c r="A89" s="306"/>
      <c r="B89" s="5" t="e">
        <f t="shared" ref="B89:B120" ca="1" si="45">K89&amp;" "&amp;C89&amp;" "&amp;" "&amp;YEAR(E89)</f>
        <v>#NAME?</v>
      </c>
      <c r="C89" s="56" t="e">
        <f ca="1">_xll.BDP($M89,C$43)</f>
        <v>#NAME?</v>
      </c>
      <c r="D89" s="184" t="e">
        <f ca="1">_xll.BDP($M89,D$43)*1</f>
        <v>#NAME?</v>
      </c>
      <c r="E89" s="185" t="e">
        <f ca="1">_xll.BDP($M89,E$43)*1</f>
        <v>#NAME?</v>
      </c>
      <c r="F89" s="17" t="e">
        <f ca="1">_xll.BDP($M89,F$43)*1</f>
        <v>#NAME?</v>
      </c>
      <c r="G89" s="186" t="e">
        <f t="shared" ca="1" si="43"/>
        <v>#NAME?</v>
      </c>
      <c r="H89" s="187" t="e">
        <f t="shared" ca="1" si="44"/>
        <v>#NAME?</v>
      </c>
      <c r="I89" s="187" t="e">
        <f t="shared" ca="1" si="23"/>
        <v>#NAME?</v>
      </c>
      <c r="J89" s="17" t="e">
        <f ca="1">_xll.BDP($M89,J$43)*1</f>
        <v>#NAME?</v>
      </c>
      <c r="K89" s="5" t="s">
        <v>163</v>
      </c>
      <c r="M89" s="56" t="s">
        <v>166</v>
      </c>
      <c r="N89" s="221"/>
      <c r="O89" s="197"/>
      <c r="P89" s="197"/>
      <c r="Q89" s="198"/>
    </row>
    <row r="90" spans="1:17" x14ac:dyDescent="0.25">
      <c r="A90" s="306"/>
      <c r="B90" s="5" t="e">
        <f t="shared" ca="1" si="45"/>
        <v>#NAME?</v>
      </c>
      <c r="C90" s="56" t="e">
        <f ca="1">_xll.BDP($M90,C$43)</f>
        <v>#NAME?</v>
      </c>
      <c r="D90" s="184" t="e">
        <f ca="1">_xll.BDP($M90,D$43)*1</f>
        <v>#NAME?</v>
      </c>
      <c r="E90" s="185" t="e">
        <f ca="1">_xll.BDP($M90,E$43)*1</f>
        <v>#NAME?</v>
      </c>
      <c r="F90" s="17" t="e">
        <f ca="1">_xll.BDP($M90,F$43)*1</f>
        <v>#NAME?</v>
      </c>
      <c r="G90" s="186" t="e">
        <f t="shared" ca="1" si="43"/>
        <v>#NAME?</v>
      </c>
      <c r="H90" s="187" t="e">
        <f t="shared" ca="1" si="44"/>
        <v>#NAME?</v>
      </c>
      <c r="I90" s="187" t="e">
        <f t="shared" ca="1" si="23"/>
        <v>#NAME?</v>
      </c>
      <c r="J90" s="17" t="e">
        <f ca="1">_xll.BDP($M90,J$43)*1</f>
        <v>#NAME?</v>
      </c>
      <c r="K90" s="5" t="s">
        <v>163</v>
      </c>
      <c r="M90" s="56" t="s">
        <v>167</v>
      </c>
      <c r="N90" s="221"/>
      <c r="O90" s="197"/>
      <c r="P90" s="197"/>
      <c r="Q90" s="198"/>
    </row>
    <row r="91" spans="1:17" x14ac:dyDescent="0.25">
      <c r="A91" s="306"/>
      <c r="B91" s="5" t="e">
        <f t="shared" ca="1" si="45"/>
        <v>#NAME?</v>
      </c>
      <c r="C91" s="56" t="e">
        <f ca="1">_xll.BDP($M91,C$43)</f>
        <v>#NAME?</v>
      </c>
      <c r="D91" s="184" t="e">
        <f ca="1">_xll.BDP($M91,D$43)*1</f>
        <v>#NAME?</v>
      </c>
      <c r="E91" s="185" t="e">
        <f ca="1">_xll.BDP($M91,E$43)*1</f>
        <v>#NAME?</v>
      </c>
      <c r="F91" s="17" t="e">
        <f ca="1">_xll.BDP($M91,F$43)*1</f>
        <v>#NAME?</v>
      </c>
      <c r="G91" s="186" t="e">
        <f t="shared" ca="1" si="43"/>
        <v>#NAME?</v>
      </c>
      <c r="H91" s="187" t="e">
        <f t="shared" ca="1" si="44"/>
        <v>#NAME?</v>
      </c>
      <c r="I91" s="187" t="e">
        <f t="shared" ca="1" si="23"/>
        <v>#NAME?</v>
      </c>
      <c r="J91" s="17" t="e">
        <f ca="1">_xll.BDP($M91,J$43)*1</f>
        <v>#NAME?</v>
      </c>
      <c r="K91" s="5" t="s">
        <v>168</v>
      </c>
      <c r="M91" s="56" t="s">
        <v>169</v>
      </c>
      <c r="N91" s="221"/>
      <c r="O91" s="197"/>
      <c r="P91" s="197"/>
      <c r="Q91" s="198"/>
    </row>
    <row r="92" spans="1:17" x14ac:dyDescent="0.25">
      <c r="A92" s="306"/>
      <c r="B92" s="5" t="e">
        <f t="shared" ca="1" si="45"/>
        <v>#NAME?</v>
      </c>
      <c r="C92" s="56" t="e">
        <f ca="1">_xll.BDP($M92,C$43)</f>
        <v>#NAME?</v>
      </c>
      <c r="D92" s="184" t="e">
        <f ca="1">_xll.BDP($M92,D$43)*1</f>
        <v>#NAME?</v>
      </c>
      <c r="E92" s="185" t="e">
        <f ca="1">_xll.BDP($M92,E$43)*1</f>
        <v>#NAME?</v>
      </c>
      <c r="F92" s="17" t="e">
        <f ca="1">_xll.BDP($M92,F$43)*1</f>
        <v>#NAME?</v>
      </c>
      <c r="G92" s="186" t="e">
        <f t="shared" ca="1" si="43"/>
        <v>#NAME?</v>
      </c>
      <c r="H92" s="187" t="e">
        <f t="shared" ca="1" si="44"/>
        <v>#NAME?</v>
      </c>
      <c r="I92" s="187" t="e">
        <f t="shared" ca="1" si="23"/>
        <v>#NAME?</v>
      </c>
      <c r="J92" s="17" t="e">
        <f ca="1">_xll.BDP($M92,J$43)*1</f>
        <v>#NAME?</v>
      </c>
      <c r="K92" s="5" t="s">
        <v>170</v>
      </c>
      <c r="M92" s="56" t="s">
        <v>171</v>
      </c>
      <c r="N92" s="221"/>
      <c r="O92" s="197"/>
      <c r="P92" s="197"/>
      <c r="Q92" s="198"/>
    </row>
    <row r="93" spans="1:17" x14ac:dyDescent="0.25">
      <c r="A93" s="306"/>
      <c r="B93" s="5" t="e">
        <f t="shared" ca="1" si="45"/>
        <v>#NAME?</v>
      </c>
      <c r="C93" s="56" t="e">
        <f ca="1">_xll.BDP($M93,C$43)</f>
        <v>#NAME?</v>
      </c>
      <c r="D93" s="184" t="e">
        <f ca="1">_xll.BDP($M93,D$43)*1</f>
        <v>#NAME?</v>
      </c>
      <c r="E93" s="185" t="e">
        <f ca="1">_xll.BDP($M93,E$43)*1</f>
        <v>#NAME?</v>
      </c>
      <c r="F93" s="17" t="e">
        <f ca="1">_xll.BDP($M93,F$43)*1</f>
        <v>#NAME?</v>
      </c>
      <c r="G93" s="186" t="e">
        <f t="shared" ca="1" si="43"/>
        <v>#NAME?</v>
      </c>
      <c r="H93" s="187" t="e">
        <f t="shared" ca="1" si="44"/>
        <v>#NAME?</v>
      </c>
      <c r="I93" s="187" t="e">
        <f t="shared" ca="1" si="23"/>
        <v>#NAME?</v>
      </c>
      <c r="J93" s="17" t="e">
        <f ca="1">_xll.BDP($M93,J$43)*1</f>
        <v>#NAME?</v>
      </c>
      <c r="K93" s="5" t="s">
        <v>170</v>
      </c>
      <c r="M93" s="56" t="s">
        <v>172</v>
      </c>
      <c r="N93" s="221"/>
      <c r="O93" s="197"/>
      <c r="P93" s="197"/>
      <c r="Q93" s="198"/>
    </row>
    <row r="94" spans="1:17" x14ac:dyDescent="0.25">
      <c r="A94" s="306"/>
      <c r="B94" s="5" t="e">
        <f t="shared" ca="1" si="45"/>
        <v>#NAME?</v>
      </c>
      <c r="C94" s="56" t="e">
        <f ca="1">_xll.BDP($M94,C$43)</f>
        <v>#NAME?</v>
      </c>
      <c r="D94" s="184" t="e">
        <f ca="1">_xll.BDP($M94,D$43)*1</f>
        <v>#NAME?</v>
      </c>
      <c r="E94" s="185" t="e">
        <f ca="1">_xll.BDP($M94,E$43)*1</f>
        <v>#NAME?</v>
      </c>
      <c r="F94" s="17" t="e">
        <f ca="1">_xll.BDP($M94,F$43)*1</f>
        <v>#NAME?</v>
      </c>
      <c r="G94" s="186" t="e">
        <f t="shared" ca="1" si="43"/>
        <v>#NAME?</v>
      </c>
      <c r="H94" s="187" t="e">
        <f t="shared" ca="1" si="44"/>
        <v>#NAME?</v>
      </c>
      <c r="I94" s="187" t="e">
        <f t="shared" ca="1" si="23"/>
        <v>#NAME?</v>
      </c>
      <c r="J94" s="17" t="e">
        <f ca="1">_xll.BDP($M94,J$43)*1</f>
        <v>#NAME?</v>
      </c>
      <c r="K94" s="5" t="s">
        <v>173</v>
      </c>
      <c r="M94" s="56" t="s">
        <v>174</v>
      </c>
      <c r="N94" s="221"/>
      <c r="O94" s="197"/>
      <c r="P94" s="197"/>
      <c r="Q94" s="198"/>
    </row>
    <row r="95" spans="1:17" x14ac:dyDescent="0.25">
      <c r="A95" s="306"/>
      <c r="B95" s="5" t="e">
        <f t="shared" ca="1" si="45"/>
        <v>#NAME?</v>
      </c>
      <c r="C95" s="56" t="e">
        <f ca="1">_xll.BDP($M95,C$43)</f>
        <v>#NAME?</v>
      </c>
      <c r="D95" s="184" t="e">
        <f ca="1">_xll.BDP($M95,D$43)*1</f>
        <v>#NAME?</v>
      </c>
      <c r="E95" s="185" t="e">
        <f ca="1">_xll.BDP($M95,E$43)*1</f>
        <v>#NAME?</v>
      </c>
      <c r="F95" s="17" t="e">
        <f ca="1">_xll.BDP($M95,F$43)*1</f>
        <v>#NAME?</v>
      </c>
      <c r="G95" s="186" t="e">
        <f t="shared" ca="1" si="43"/>
        <v>#NAME?</v>
      </c>
      <c r="H95" s="187" t="e">
        <f t="shared" ca="1" si="44"/>
        <v>#NAME?</v>
      </c>
      <c r="I95" s="187" t="e">
        <f t="shared" ca="1" si="23"/>
        <v>#NAME?</v>
      </c>
      <c r="J95" s="17" t="e">
        <f ca="1">_xll.BDP($M95,J$43)*1</f>
        <v>#NAME?</v>
      </c>
      <c r="K95" s="5" t="s">
        <v>173</v>
      </c>
      <c r="M95" s="56" t="s">
        <v>175</v>
      </c>
      <c r="N95" s="221"/>
      <c r="O95" s="197"/>
      <c r="P95" s="197"/>
      <c r="Q95" s="198"/>
    </row>
    <row r="96" spans="1:17" x14ac:dyDescent="0.25">
      <c r="A96" s="306"/>
      <c r="B96" s="5" t="e">
        <f t="shared" ca="1" si="45"/>
        <v>#NAME?</v>
      </c>
      <c r="C96" s="56" t="e">
        <f ca="1">_xll.BDP($M96,C$43)</f>
        <v>#NAME?</v>
      </c>
      <c r="D96" s="184" t="e">
        <f ca="1">_xll.BDP($M96,D$43)*1</f>
        <v>#NAME?</v>
      </c>
      <c r="E96" s="185" t="e">
        <f ca="1">_xll.BDP($M96,E$43)*1</f>
        <v>#NAME?</v>
      </c>
      <c r="F96" s="17" t="e">
        <f ca="1">_xll.BDP($M96,F$43)*1</f>
        <v>#NAME?</v>
      </c>
      <c r="G96" s="186" t="e">
        <f t="shared" ca="1" si="43"/>
        <v>#NAME?</v>
      </c>
      <c r="H96" s="187" t="e">
        <f t="shared" ca="1" si="44"/>
        <v>#NAME?</v>
      </c>
      <c r="I96" s="187" t="e">
        <f t="shared" ca="1" si="23"/>
        <v>#NAME?</v>
      </c>
      <c r="J96" s="17" t="e">
        <f ca="1">_xll.BDP($M96,J$43)*1</f>
        <v>#NAME?</v>
      </c>
      <c r="K96" s="5" t="s">
        <v>176</v>
      </c>
      <c r="M96" s="56" t="s">
        <v>177</v>
      </c>
      <c r="N96" s="221"/>
      <c r="O96" s="197"/>
      <c r="P96" s="197"/>
      <c r="Q96" s="198"/>
    </row>
    <row r="97" spans="1:17" x14ac:dyDescent="0.25">
      <c r="A97" s="306"/>
      <c r="B97" s="5" t="e">
        <f t="shared" ca="1" si="45"/>
        <v>#NAME?</v>
      </c>
      <c r="C97" s="56" t="e">
        <f ca="1">_xll.BDP($M97,C$43)</f>
        <v>#NAME?</v>
      </c>
      <c r="D97" s="184" t="e">
        <f ca="1">_xll.BDP($M97,D$43)*1</f>
        <v>#NAME?</v>
      </c>
      <c r="E97" s="185" t="e">
        <f ca="1">_xll.BDP($M97,E$43)*1</f>
        <v>#NAME?</v>
      </c>
      <c r="F97" s="17" t="e">
        <f ca="1">_xll.BDP($M97,F$43)*1</f>
        <v>#NAME?</v>
      </c>
      <c r="G97" s="186" t="e">
        <f t="shared" ca="1" si="43"/>
        <v>#NAME?</v>
      </c>
      <c r="H97" s="187" t="e">
        <f t="shared" ca="1" si="44"/>
        <v>#NAME?</v>
      </c>
      <c r="I97" s="187" t="e">
        <f t="shared" ca="1" si="23"/>
        <v>#NAME?</v>
      </c>
      <c r="J97" s="17" t="e">
        <f ca="1">_xll.BDP($M97,J$43)*1</f>
        <v>#NAME?</v>
      </c>
      <c r="K97" s="5" t="s">
        <v>176</v>
      </c>
      <c r="M97" s="56" t="s">
        <v>178</v>
      </c>
      <c r="N97" s="221"/>
      <c r="O97" s="197"/>
      <c r="P97" s="197"/>
      <c r="Q97" s="198"/>
    </row>
    <row r="98" spans="1:17" x14ac:dyDescent="0.25">
      <c r="A98" s="306"/>
      <c r="B98" s="5" t="e">
        <f t="shared" ca="1" si="45"/>
        <v>#NAME?</v>
      </c>
      <c r="C98" s="56" t="e">
        <f ca="1">_xll.BDP($M98,C$43)</f>
        <v>#NAME?</v>
      </c>
      <c r="D98" s="184" t="e">
        <f ca="1">_xll.BDP($M98,D$43)*1</f>
        <v>#NAME?</v>
      </c>
      <c r="E98" s="185" t="e">
        <f ca="1">_xll.BDP($M98,E$43)*1</f>
        <v>#NAME?</v>
      </c>
      <c r="F98" s="17" t="e">
        <f ca="1">_xll.BDP($M98,F$43)*1</f>
        <v>#NAME?</v>
      </c>
      <c r="G98" s="186" t="e">
        <f t="shared" ca="1" si="43"/>
        <v>#NAME?</v>
      </c>
      <c r="H98" s="187" t="e">
        <f t="shared" ca="1" si="44"/>
        <v>#NAME?</v>
      </c>
      <c r="I98" s="187" t="e">
        <f t="shared" ca="1" si="23"/>
        <v>#NAME?</v>
      </c>
      <c r="J98" s="17" t="e">
        <f ca="1">_xll.BDP($M98,J$43)*1</f>
        <v>#NAME?</v>
      </c>
      <c r="K98" s="5" t="s">
        <v>179</v>
      </c>
      <c r="M98" s="56" t="s">
        <v>180</v>
      </c>
      <c r="N98" s="221"/>
      <c r="O98" s="197"/>
      <c r="P98" s="197"/>
      <c r="Q98" s="198"/>
    </row>
    <row r="99" spans="1:17" x14ac:dyDescent="0.25">
      <c r="A99" s="306"/>
      <c r="B99" s="5" t="e">
        <f t="shared" ca="1" si="45"/>
        <v>#NAME?</v>
      </c>
      <c r="C99" s="56" t="e">
        <f ca="1">_xll.BDP($M99,C$43)</f>
        <v>#NAME?</v>
      </c>
      <c r="D99" s="184" t="e">
        <f ca="1">_xll.BDP($M99,D$43)*1</f>
        <v>#NAME?</v>
      </c>
      <c r="E99" s="185" t="e">
        <f ca="1">_xll.BDP($M99,E$43)*1</f>
        <v>#NAME?</v>
      </c>
      <c r="F99" s="17" t="e">
        <f ca="1">_xll.BDP($M99,F$43)*1</f>
        <v>#NAME?</v>
      </c>
      <c r="G99" s="186" t="e">
        <f t="shared" ca="1" si="43"/>
        <v>#NAME?</v>
      </c>
      <c r="H99" s="187" t="e">
        <f t="shared" ca="1" si="44"/>
        <v>#NAME?</v>
      </c>
      <c r="I99" s="187" t="e">
        <f t="shared" ca="1" si="23"/>
        <v>#NAME?</v>
      </c>
      <c r="J99" s="17" t="e">
        <f ca="1">_xll.BDP($M99,J$43)*1</f>
        <v>#NAME?</v>
      </c>
      <c r="K99" s="5" t="s">
        <v>181</v>
      </c>
      <c r="M99" s="56" t="s">
        <v>182</v>
      </c>
      <c r="N99" s="221"/>
      <c r="O99" s="197"/>
      <c r="P99" s="197"/>
      <c r="Q99" s="198"/>
    </row>
    <row r="100" spans="1:17" x14ac:dyDescent="0.25">
      <c r="A100" s="306"/>
      <c r="B100" s="5" t="e">
        <f t="shared" ca="1" si="45"/>
        <v>#NAME?</v>
      </c>
      <c r="C100" s="56" t="e">
        <f ca="1">_xll.BDP($M100,C$43)</f>
        <v>#NAME?</v>
      </c>
      <c r="D100" s="184" t="e">
        <f ca="1">_xll.BDP($M100,D$43)*1</f>
        <v>#NAME?</v>
      </c>
      <c r="E100" s="185" t="e">
        <f ca="1">_xll.BDP($M100,E$43)*1</f>
        <v>#NAME?</v>
      </c>
      <c r="F100" s="17" t="e">
        <f ca="1">_xll.BDP($M100,F$43)*1</f>
        <v>#NAME?</v>
      </c>
      <c r="G100" s="186" t="e">
        <f t="shared" ca="1" si="43"/>
        <v>#NAME?</v>
      </c>
      <c r="H100" s="187" t="e">
        <f t="shared" ca="1" si="44"/>
        <v>#NAME?</v>
      </c>
      <c r="I100" s="187" t="e">
        <f t="shared" ca="1" si="23"/>
        <v>#NAME?</v>
      </c>
      <c r="J100" s="17" t="e">
        <f ca="1">_xll.BDP($M100,J$43)*1</f>
        <v>#NAME?</v>
      </c>
      <c r="K100" s="5" t="s">
        <v>183</v>
      </c>
      <c r="M100" s="56" t="s">
        <v>184</v>
      </c>
      <c r="N100" s="221"/>
      <c r="O100" s="197"/>
      <c r="P100" s="197"/>
      <c r="Q100" s="198"/>
    </row>
    <row r="101" spans="1:17" x14ac:dyDescent="0.25">
      <c r="A101" s="306"/>
      <c r="B101" s="5" t="e">
        <f t="shared" ca="1" si="45"/>
        <v>#NAME?</v>
      </c>
      <c r="C101" s="56" t="e">
        <f ca="1">_xll.BDP($M101,C$43)</f>
        <v>#NAME?</v>
      </c>
      <c r="D101" s="184" t="e">
        <f ca="1">_xll.BDP($M101,D$43)*1</f>
        <v>#NAME?</v>
      </c>
      <c r="E101" s="185" t="e">
        <f ca="1">_xll.BDP($M101,E$43)*1</f>
        <v>#NAME?</v>
      </c>
      <c r="F101" s="17" t="e">
        <f ca="1">_xll.BDP($M101,F$43)*1</f>
        <v>#NAME?</v>
      </c>
      <c r="G101" s="186" t="e">
        <f t="shared" ca="1" si="43"/>
        <v>#NAME?</v>
      </c>
      <c r="H101" s="187" t="e">
        <f t="shared" ca="1" si="44"/>
        <v>#NAME?</v>
      </c>
      <c r="I101" s="187" t="e">
        <f t="shared" ca="1" si="23"/>
        <v>#NAME?</v>
      </c>
      <c r="J101" s="17" t="e">
        <f ca="1">_xll.BDP($M101,J$43)*1</f>
        <v>#NAME?</v>
      </c>
      <c r="K101" s="5" t="s">
        <v>185</v>
      </c>
      <c r="M101" s="56" t="s">
        <v>186</v>
      </c>
      <c r="N101" s="221"/>
      <c r="O101" s="197"/>
      <c r="P101" s="197"/>
      <c r="Q101" s="198"/>
    </row>
    <row r="102" spans="1:17" x14ac:dyDescent="0.25">
      <c r="A102" s="306"/>
      <c r="B102" s="5" t="e">
        <f t="shared" ca="1" si="45"/>
        <v>#NAME?</v>
      </c>
      <c r="C102" s="56" t="e">
        <f ca="1">_xll.BDP($M102,C$43)</f>
        <v>#NAME?</v>
      </c>
      <c r="D102" s="184" t="e">
        <f ca="1">_xll.BDP($M102,D$43)*1</f>
        <v>#NAME?</v>
      </c>
      <c r="E102" s="185" t="e">
        <f ca="1">_xll.BDP($M102,E$43)*1</f>
        <v>#NAME?</v>
      </c>
      <c r="F102" s="17" t="e">
        <f ca="1">_xll.BDP($M102,F$43)*1</f>
        <v>#NAME?</v>
      </c>
      <c r="G102" s="186" t="e">
        <f t="shared" ca="1" si="43"/>
        <v>#NAME?</v>
      </c>
      <c r="H102" s="187" t="e">
        <f t="shared" ca="1" si="44"/>
        <v>#NAME?</v>
      </c>
      <c r="I102" s="187" t="e">
        <f t="shared" ca="1" si="23"/>
        <v>#NAME?</v>
      </c>
      <c r="J102" s="17" t="e">
        <f ca="1">_xll.BDP($M102,J$43)*1</f>
        <v>#NAME?</v>
      </c>
      <c r="K102" s="5" t="s">
        <v>185</v>
      </c>
      <c r="M102" s="56" t="s">
        <v>187</v>
      </c>
      <c r="N102" s="221"/>
      <c r="O102" s="197"/>
      <c r="P102" s="197"/>
      <c r="Q102" s="198"/>
    </row>
    <row r="103" spans="1:17" x14ac:dyDescent="0.25">
      <c r="A103" s="306"/>
      <c r="B103" s="5" t="e">
        <f t="shared" ca="1" si="45"/>
        <v>#NAME?</v>
      </c>
      <c r="C103" s="56" t="e">
        <f ca="1">_xll.BDP($M103,C$43)</f>
        <v>#NAME?</v>
      </c>
      <c r="D103" s="184" t="e">
        <f ca="1">_xll.BDP($M103,D$43)*1</f>
        <v>#NAME?</v>
      </c>
      <c r="E103" s="185" t="e">
        <f ca="1">_xll.BDP($M103,E$43)*1</f>
        <v>#NAME?</v>
      </c>
      <c r="F103" s="17" t="e">
        <f ca="1">_xll.BDP($M103,F$43)*1</f>
        <v>#NAME?</v>
      </c>
      <c r="G103" s="186" t="e">
        <f t="shared" ca="1" si="43"/>
        <v>#NAME?</v>
      </c>
      <c r="H103" s="187" t="e">
        <f t="shared" ca="1" si="44"/>
        <v>#NAME?</v>
      </c>
      <c r="I103" s="187" t="e">
        <f t="shared" ca="1" si="23"/>
        <v>#NAME?</v>
      </c>
      <c r="J103" s="17" t="e">
        <f ca="1">_xll.BDP($M103,J$43)*1</f>
        <v>#NAME?</v>
      </c>
      <c r="K103" s="5" t="s">
        <v>188</v>
      </c>
      <c r="M103" s="56" t="s">
        <v>189</v>
      </c>
      <c r="N103" s="221"/>
      <c r="O103" s="197"/>
      <c r="P103" s="197"/>
      <c r="Q103" s="198"/>
    </row>
    <row r="104" spans="1:17" x14ac:dyDescent="0.25">
      <c r="A104" s="306"/>
      <c r="B104" s="5" t="e">
        <f t="shared" ca="1" si="45"/>
        <v>#NAME?</v>
      </c>
      <c r="C104" s="56" t="e">
        <f ca="1">_xll.BDP($M104,C$43)</f>
        <v>#NAME?</v>
      </c>
      <c r="D104" s="184" t="e">
        <f ca="1">_xll.BDP($M104,D$43)*1</f>
        <v>#NAME?</v>
      </c>
      <c r="E104" s="185" t="e">
        <f ca="1">_xll.BDP($M104,E$43)*1</f>
        <v>#NAME?</v>
      </c>
      <c r="F104" s="17" t="e">
        <f ca="1">_xll.BDP($M104,F$43)*1</f>
        <v>#NAME?</v>
      </c>
      <c r="G104" s="186" t="e">
        <f t="shared" ca="1" si="43"/>
        <v>#NAME?</v>
      </c>
      <c r="H104" s="187" t="e">
        <f t="shared" ca="1" si="44"/>
        <v>#NAME?</v>
      </c>
      <c r="I104" s="187" t="e">
        <f t="shared" ca="1" si="23"/>
        <v>#NAME?</v>
      </c>
      <c r="J104" s="17" t="e">
        <f ca="1">_xll.BDP($M104,J$43)*1</f>
        <v>#NAME?</v>
      </c>
      <c r="K104" s="5" t="s">
        <v>188</v>
      </c>
      <c r="M104" s="56" t="s">
        <v>190</v>
      </c>
      <c r="N104" s="221"/>
      <c r="O104" s="197"/>
      <c r="P104" s="197"/>
      <c r="Q104" s="198"/>
    </row>
    <row r="105" spans="1:17" x14ac:dyDescent="0.25">
      <c r="A105" s="306"/>
      <c r="B105" s="5" t="e">
        <f t="shared" ca="1" si="45"/>
        <v>#NAME?</v>
      </c>
      <c r="C105" s="56" t="e">
        <f ca="1">_xll.BDP($M105,C$43)</f>
        <v>#NAME?</v>
      </c>
      <c r="D105" s="184" t="e">
        <f ca="1">_xll.BDP($M105,D$43)*1</f>
        <v>#NAME?</v>
      </c>
      <c r="E105" s="185" t="e">
        <f ca="1">_xll.BDP($M105,E$43)*1</f>
        <v>#NAME?</v>
      </c>
      <c r="F105" s="17" t="e">
        <f ca="1">_xll.BDP($M105,F$43)*1</f>
        <v>#NAME?</v>
      </c>
      <c r="G105" s="186" t="e">
        <f t="shared" ca="1" si="43"/>
        <v>#NAME?</v>
      </c>
      <c r="H105" s="187" t="e">
        <f t="shared" ca="1" si="44"/>
        <v>#NAME?</v>
      </c>
      <c r="I105" s="187" t="e">
        <f t="shared" ca="1" si="23"/>
        <v>#NAME?</v>
      </c>
      <c r="J105" s="17" t="e">
        <f ca="1">_xll.BDP($M105,J$43)*1</f>
        <v>#NAME?</v>
      </c>
      <c r="K105" s="5" t="s">
        <v>191</v>
      </c>
      <c r="M105" s="56" t="s">
        <v>192</v>
      </c>
      <c r="N105" s="221"/>
      <c r="O105" s="197"/>
      <c r="P105" s="197"/>
      <c r="Q105" s="198"/>
    </row>
    <row r="106" spans="1:17" x14ac:dyDescent="0.25">
      <c r="A106" s="306"/>
      <c r="B106" s="5" t="e">
        <f t="shared" ca="1" si="45"/>
        <v>#NAME?</v>
      </c>
      <c r="C106" s="56" t="e">
        <f ca="1">_xll.BDP($M106,C$43)</f>
        <v>#NAME?</v>
      </c>
      <c r="D106" s="184" t="e">
        <f ca="1">_xll.BDP($M106,D$43)*1</f>
        <v>#NAME?</v>
      </c>
      <c r="E106" s="185" t="e">
        <f ca="1">_xll.BDP($M106,E$43)*1</f>
        <v>#NAME?</v>
      </c>
      <c r="F106" s="17" t="e">
        <f ca="1">_xll.BDP($M106,F$43)*1</f>
        <v>#NAME?</v>
      </c>
      <c r="G106" s="186" t="e">
        <f t="shared" ca="1" si="43"/>
        <v>#NAME?</v>
      </c>
      <c r="H106" s="187" t="e">
        <f t="shared" ca="1" si="44"/>
        <v>#NAME?</v>
      </c>
      <c r="I106" s="187" t="e">
        <f t="shared" ca="1" si="23"/>
        <v>#NAME?</v>
      </c>
      <c r="J106" s="17" t="e">
        <f ca="1">_xll.BDP($M106,J$43)*1</f>
        <v>#NAME?</v>
      </c>
      <c r="K106" s="5" t="s">
        <v>191</v>
      </c>
      <c r="M106" s="56" t="s">
        <v>193</v>
      </c>
      <c r="N106" s="221"/>
      <c r="O106" s="197"/>
      <c r="P106" s="197"/>
      <c r="Q106" s="198"/>
    </row>
    <row r="107" spans="1:17" x14ac:dyDescent="0.25">
      <c r="A107" s="306"/>
      <c r="B107" s="5" t="e">
        <f t="shared" ca="1" si="45"/>
        <v>#NAME?</v>
      </c>
      <c r="C107" s="56" t="e">
        <f ca="1">_xll.BDP($M107,C$43)</f>
        <v>#NAME?</v>
      </c>
      <c r="D107" s="184" t="e">
        <f ca="1">_xll.BDP($M107,D$43)*1</f>
        <v>#NAME?</v>
      </c>
      <c r="E107" s="185" t="e">
        <f ca="1">_xll.BDP($M107,E$43)*1</f>
        <v>#NAME?</v>
      </c>
      <c r="F107" s="17" t="e">
        <f ca="1">_xll.BDP($M107,F$43)*1</f>
        <v>#NAME?</v>
      </c>
      <c r="G107" s="186" t="e">
        <f t="shared" ca="1" si="43"/>
        <v>#NAME?</v>
      </c>
      <c r="H107" s="187" t="e">
        <f t="shared" ca="1" si="44"/>
        <v>#NAME?</v>
      </c>
      <c r="I107" s="187" t="e">
        <f t="shared" ca="1" si="23"/>
        <v>#NAME?</v>
      </c>
      <c r="J107" s="17" t="e">
        <f ca="1">_xll.BDP($M107,J$43)*1</f>
        <v>#NAME?</v>
      </c>
      <c r="K107" s="5" t="s">
        <v>191</v>
      </c>
      <c r="M107" s="56" t="s">
        <v>194</v>
      </c>
      <c r="N107" s="221"/>
      <c r="O107" s="197"/>
      <c r="P107" s="197"/>
      <c r="Q107" s="198"/>
    </row>
    <row r="108" spans="1:17" x14ac:dyDescent="0.25">
      <c r="A108" s="306"/>
      <c r="B108" s="5" t="e">
        <f t="shared" ca="1" si="45"/>
        <v>#NAME?</v>
      </c>
      <c r="C108" s="56" t="e">
        <f ca="1">_xll.BDP($M108,C$43)</f>
        <v>#NAME?</v>
      </c>
      <c r="D108" s="184" t="e">
        <f ca="1">_xll.BDP($M108,D$43)*1</f>
        <v>#NAME?</v>
      </c>
      <c r="E108" s="185" t="e">
        <f ca="1">_xll.BDP($M108,E$43)*1</f>
        <v>#NAME?</v>
      </c>
      <c r="F108" s="17" t="e">
        <f ca="1">_xll.BDP($M108,F$43)*1</f>
        <v>#NAME?</v>
      </c>
      <c r="G108" s="186" t="e">
        <f t="shared" ca="1" si="43"/>
        <v>#NAME?</v>
      </c>
      <c r="H108" s="187" t="e">
        <f t="shared" ca="1" si="44"/>
        <v>#NAME?</v>
      </c>
      <c r="I108" s="187" t="e">
        <f t="shared" ca="1" si="23"/>
        <v>#NAME?</v>
      </c>
      <c r="J108" s="17" t="e">
        <f ca="1">_xll.BDP($M108,J$43)*1</f>
        <v>#NAME?</v>
      </c>
      <c r="K108" s="5" t="s">
        <v>195</v>
      </c>
      <c r="M108" s="56" t="s">
        <v>196</v>
      </c>
      <c r="N108" s="221"/>
      <c r="O108" s="197"/>
      <c r="P108" s="197"/>
      <c r="Q108" s="198"/>
    </row>
    <row r="109" spans="1:17" x14ac:dyDescent="0.25">
      <c r="A109" s="306"/>
      <c r="B109" s="5" t="e">
        <f t="shared" ca="1" si="45"/>
        <v>#NAME?</v>
      </c>
      <c r="C109" s="56" t="e">
        <f ca="1">_xll.BDP($M109,C$43)</f>
        <v>#NAME?</v>
      </c>
      <c r="D109" s="184" t="e">
        <f ca="1">_xll.BDP($M109,D$43)*1</f>
        <v>#NAME?</v>
      </c>
      <c r="E109" s="185" t="e">
        <f ca="1">_xll.BDP($M109,E$43)*1</f>
        <v>#NAME?</v>
      </c>
      <c r="F109" s="17" t="e">
        <f ca="1">_xll.BDP($M109,F$43)*1</f>
        <v>#NAME?</v>
      </c>
      <c r="G109" s="186" t="e">
        <f t="shared" ca="1" si="43"/>
        <v>#NAME?</v>
      </c>
      <c r="H109" s="187" t="e">
        <f t="shared" ca="1" si="44"/>
        <v>#NAME?</v>
      </c>
      <c r="I109" s="187" t="e">
        <f t="shared" ref="I109:I126" ca="1" si="46">+H109+F109</f>
        <v>#NAME?</v>
      </c>
      <c r="J109" s="17" t="e">
        <f ca="1">_xll.BDP($M109,J$43)*1</f>
        <v>#NAME?</v>
      </c>
      <c r="K109" s="5" t="s">
        <v>197</v>
      </c>
      <c r="M109" s="56" t="s">
        <v>198</v>
      </c>
      <c r="N109" s="221"/>
      <c r="O109" s="197"/>
      <c r="P109" s="197"/>
      <c r="Q109" s="198"/>
    </row>
    <row r="110" spans="1:17" x14ac:dyDescent="0.25">
      <c r="A110" s="306"/>
      <c r="B110" s="5" t="e">
        <f t="shared" ca="1" si="45"/>
        <v>#NAME?</v>
      </c>
      <c r="C110" s="56" t="e">
        <f ca="1">_xll.BDP($M110,C$43)</f>
        <v>#NAME?</v>
      </c>
      <c r="D110" s="184" t="e">
        <f ca="1">_xll.BDP($M110,D$43)*1</f>
        <v>#NAME?</v>
      </c>
      <c r="E110" s="185" t="e">
        <f ca="1">_xll.BDP($M110,E$43)*1</f>
        <v>#NAME?</v>
      </c>
      <c r="F110" s="17" t="e">
        <f ca="1">_xll.BDP($M110,F$43)*1</f>
        <v>#NAME?</v>
      </c>
      <c r="G110" s="186" t="e">
        <f t="shared" ca="1" si="43"/>
        <v>#NAME?</v>
      </c>
      <c r="H110" s="187" t="e">
        <f t="shared" ca="1" si="44"/>
        <v>#NAME?</v>
      </c>
      <c r="I110" s="187" t="e">
        <f t="shared" ca="1" si="46"/>
        <v>#NAME?</v>
      </c>
      <c r="J110" s="17" t="e">
        <f ca="1">_xll.BDP($M110,J$43)*1</f>
        <v>#NAME?</v>
      </c>
      <c r="K110" s="5" t="s">
        <v>199</v>
      </c>
      <c r="M110" s="56" t="s">
        <v>200</v>
      </c>
      <c r="N110" s="221"/>
      <c r="O110" s="197"/>
      <c r="P110" s="197"/>
      <c r="Q110" s="198"/>
    </row>
    <row r="111" spans="1:17" x14ac:dyDescent="0.25">
      <c r="A111" s="306"/>
      <c r="B111" s="5" t="e">
        <f t="shared" ca="1" si="45"/>
        <v>#NAME?</v>
      </c>
      <c r="C111" s="56" t="e">
        <f ca="1">_xll.BDP($M111,C$43)</f>
        <v>#NAME?</v>
      </c>
      <c r="D111" s="184" t="e">
        <f ca="1">_xll.BDP($M111,D$43)*1</f>
        <v>#NAME?</v>
      </c>
      <c r="E111" s="185" t="e">
        <f ca="1">_xll.BDP($M111,E$43)*1</f>
        <v>#NAME?</v>
      </c>
      <c r="F111" s="17" t="e">
        <f ca="1">_xll.BDP($M111,F$43)*1</f>
        <v>#NAME?</v>
      </c>
      <c r="G111" s="186" t="e">
        <f t="shared" ca="1" si="43"/>
        <v>#NAME?</v>
      </c>
      <c r="H111" s="187" t="e">
        <f t="shared" ca="1" si="44"/>
        <v>#NAME?</v>
      </c>
      <c r="I111" s="187" t="e">
        <f t="shared" ca="1" si="46"/>
        <v>#NAME?</v>
      </c>
      <c r="J111" s="17" t="e">
        <f ca="1">_xll.BDP($M111,J$43)*1</f>
        <v>#NAME?</v>
      </c>
      <c r="K111" s="5" t="s">
        <v>201</v>
      </c>
      <c r="M111" s="56" t="s">
        <v>202</v>
      </c>
      <c r="N111" s="221"/>
      <c r="O111" s="197"/>
      <c r="P111" s="197"/>
      <c r="Q111" s="198"/>
    </row>
    <row r="112" spans="1:17" x14ac:dyDescent="0.25">
      <c r="A112" s="306"/>
      <c r="B112" s="5" t="e">
        <f t="shared" ca="1" si="45"/>
        <v>#NAME?</v>
      </c>
      <c r="C112" s="56" t="e">
        <f ca="1">_xll.BDP($M112,C$43)</f>
        <v>#NAME?</v>
      </c>
      <c r="D112" s="184" t="e">
        <f ca="1">_xll.BDP($M112,D$43)*1</f>
        <v>#NAME?</v>
      </c>
      <c r="E112" s="185" t="e">
        <f ca="1">_xll.BDP($M112,E$43)*1</f>
        <v>#NAME?</v>
      </c>
      <c r="F112" s="17" t="e">
        <f ca="1">_xll.BDP($M112,F$43)*1</f>
        <v>#NAME?</v>
      </c>
      <c r="G112" s="186" t="e">
        <f t="shared" ca="1" si="43"/>
        <v>#NAME?</v>
      </c>
      <c r="H112" s="187" t="e">
        <f t="shared" ca="1" si="44"/>
        <v>#NAME?</v>
      </c>
      <c r="I112" s="187" t="e">
        <f t="shared" ca="1" si="46"/>
        <v>#NAME?</v>
      </c>
      <c r="J112" s="17" t="e">
        <f ca="1">_xll.BDP($M112,J$43)*1</f>
        <v>#NAME?</v>
      </c>
      <c r="K112" s="5" t="s">
        <v>201</v>
      </c>
      <c r="M112" s="56" t="s">
        <v>203</v>
      </c>
      <c r="N112" s="221"/>
      <c r="O112" s="197"/>
      <c r="P112" s="197"/>
      <c r="Q112" s="198"/>
    </row>
    <row r="113" spans="1:17" x14ac:dyDescent="0.25">
      <c r="A113" s="306"/>
      <c r="B113" s="5" t="e">
        <f t="shared" ca="1" si="45"/>
        <v>#NAME?</v>
      </c>
      <c r="C113" s="56" t="e">
        <f ca="1">_xll.BDP($M113,C$43)</f>
        <v>#NAME?</v>
      </c>
      <c r="D113" s="184" t="e">
        <f ca="1">_xll.BDP($M113,D$43)*1</f>
        <v>#NAME?</v>
      </c>
      <c r="E113" s="185" t="e">
        <f ca="1">_xll.BDP($M113,E$43)*1</f>
        <v>#NAME?</v>
      </c>
      <c r="F113" s="17" t="e">
        <f ca="1">_xll.BDP($M113,F$43)*1</f>
        <v>#NAME?</v>
      </c>
      <c r="G113" s="186" t="e">
        <f t="shared" ca="1" si="43"/>
        <v>#NAME?</v>
      </c>
      <c r="H113" s="187" t="e">
        <f t="shared" ca="1" si="44"/>
        <v>#NAME?</v>
      </c>
      <c r="I113" s="187" t="e">
        <f t="shared" ca="1" si="46"/>
        <v>#NAME?</v>
      </c>
      <c r="J113" s="17" t="e">
        <f ca="1">_xll.BDP($M113,J$43)*1</f>
        <v>#NAME?</v>
      </c>
      <c r="K113" s="5" t="s">
        <v>204</v>
      </c>
      <c r="M113" s="56" t="s">
        <v>205</v>
      </c>
      <c r="N113" s="221"/>
      <c r="O113" s="197"/>
      <c r="P113" s="197"/>
      <c r="Q113" s="198"/>
    </row>
    <row r="114" spans="1:17" x14ac:dyDescent="0.25">
      <c r="A114" s="306"/>
      <c r="B114" s="5" t="e">
        <f t="shared" ca="1" si="45"/>
        <v>#NAME?</v>
      </c>
      <c r="C114" s="56" t="e">
        <f ca="1">_xll.BDP($M114,C$43)</f>
        <v>#NAME?</v>
      </c>
      <c r="D114" s="184" t="e">
        <f ca="1">_xll.BDP($M114,D$43)*1</f>
        <v>#NAME?</v>
      </c>
      <c r="E114" s="185" t="e">
        <f ca="1">_xll.BDP($M114,E$43)*1</f>
        <v>#NAME?</v>
      </c>
      <c r="F114" s="17" t="e">
        <f ca="1">_xll.BDP($M114,F$43)*1</f>
        <v>#NAME?</v>
      </c>
      <c r="G114" s="186" t="e">
        <f t="shared" ca="1" si="43"/>
        <v>#NAME?</v>
      </c>
      <c r="H114" s="187" t="e">
        <f t="shared" ca="1" si="44"/>
        <v>#NAME?</v>
      </c>
      <c r="I114" s="187" t="e">
        <f t="shared" ca="1" si="46"/>
        <v>#NAME?</v>
      </c>
      <c r="J114" s="17" t="e">
        <f ca="1">_xll.BDP($M114,J$43)*1</f>
        <v>#NAME?</v>
      </c>
      <c r="K114" s="5" t="s">
        <v>206</v>
      </c>
      <c r="M114" s="56" t="s">
        <v>207</v>
      </c>
      <c r="N114" s="221"/>
      <c r="O114" s="197"/>
      <c r="P114" s="197"/>
      <c r="Q114" s="198"/>
    </row>
    <row r="115" spans="1:17" x14ac:dyDescent="0.25">
      <c r="A115" s="306"/>
      <c r="B115" s="5" t="e">
        <f t="shared" ca="1" si="45"/>
        <v>#NAME?</v>
      </c>
      <c r="C115" s="56" t="e">
        <f ca="1">_xll.BDP($M115,C$43)</f>
        <v>#NAME?</v>
      </c>
      <c r="D115" s="184" t="e">
        <f ca="1">_xll.BDP($M115,D$43)*1</f>
        <v>#NAME?</v>
      </c>
      <c r="E115" s="185" t="e">
        <f ca="1">_xll.BDP($M115,E$43)*1</f>
        <v>#NAME?</v>
      </c>
      <c r="F115" s="17" t="e">
        <f ca="1">_xll.BDP($M115,F$43)*1</f>
        <v>#NAME?</v>
      </c>
      <c r="G115" s="186" t="e">
        <f t="shared" ca="1" si="43"/>
        <v>#NAME?</v>
      </c>
      <c r="H115" s="187" t="e">
        <f t="shared" ca="1" si="44"/>
        <v>#NAME?</v>
      </c>
      <c r="I115" s="187" t="e">
        <f t="shared" ca="1" si="46"/>
        <v>#NAME?</v>
      </c>
      <c r="J115" s="17" t="e">
        <f ca="1">_xll.BDP($M115,J$43)*1</f>
        <v>#NAME?</v>
      </c>
      <c r="K115" s="5" t="s">
        <v>206</v>
      </c>
      <c r="M115" s="56" t="s">
        <v>208</v>
      </c>
      <c r="N115" s="221"/>
      <c r="O115" s="197"/>
      <c r="P115" s="197"/>
      <c r="Q115" s="198"/>
    </row>
    <row r="116" spans="1:17" x14ac:dyDescent="0.25">
      <c r="A116" s="306"/>
      <c r="B116" s="5" t="e">
        <f t="shared" ca="1" si="45"/>
        <v>#NAME?</v>
      </c>
      <c r="C116" s="56" t="e">
        <f ca="1">_xll.BDP($M116,C$43)</f>
        <v>#NAME?</v>
      </c>
      <c r="D116" s="184" t="e">
        <f ca="1">_xll.BDP($M116,D$43)*1</f>
        <v>#NAME?</v>
      </c>
      <c r="E116" s="185" t="e">
        <f ca="1">_xll.BDP($M116,E$43)*1</f>
        <v>#NAME?</v>
      </c>
      <c r="F116" s="17" t="e">
        <f ca="1">_xll.BDP($M116,F$43)*1</f>
        <v>#NAME?</v>
      </c>
      <c r="G116" s="186" t="e">
        <f t="shared" ca="1" si="43"/>
        <v>#NAME?</v>
      </c>
      <c r="H116" s="187" t="e">
        <f t="shared" ca="1" si="44"/>
        <v>#NAME?</v>
      </c>
      <c r="I116" s="187" t="e">
        <f t="shared" ca="1" si="46"/>
        <v>#NAME?</v>
      </c>
      <c r="J116" s="17" t="e">
        <f ca="1">_xll.BDP($M116,J$43)*1</f>
        <v>#NAME?</v>
      </c>
      <c r="K116" s="5" t="s">
        <v>206</v>
      </c>
      <c r="M116" s="56" t="s">
        <v>209</v>
      </c>
      <c r="N116" s="221"/>
      <c r="O116" s="197"/>
      <c r="P116" s="197"/>
      <c r="Q116" s="198"/>
    </row>
    <row r="117" spans="1:17" x14ac:dyDescent="0.25">
      <c r="A117" s="306"/>
      <c r="B117" s="5" t="e">
        <f t="shared" ca="1" si="45"/>
        <v>#NAME?</v>
      </c>
      <c r="C117" s="56" t="e">
        <f ca="1">_xll.BDP($M117,C$43)</f>
        <v>#NAME?</v>
      </c>
      <c r="D117" s="184" t="e">
        <f ca="1">_xll.BDP($M117,D$43)*1</f>
        <v>#NAME?</v>
      </c>
      <c r="E117" s="185" t="e">
        <f ca="1">_xll.BDP($M117,E$43)*1</f>
        <v>#NAME?</v>
      </c>
      <c r="F117" s="17" t="e">
        <f ca="1">_xll.BDP($M117,F$43)*1</f>
        <v>#NAME?</v>
      </c>
      <c r="G117" s="186" t="e">
        <f t="shared" ca="1" si="43"/>
        <v>#NAME?</v>
      </c>
      <c r="H117" s="187" t="e">
        <f t="shared" ca="1" si="44"/>
        <v>#NAME?</v>
      </c>
      <c r="I117" s="187" t="e">
        <f t="shared" ca="1" si="46"/>
        <v>#NAME?</v>
      </c>
      <c r="J117" s="17" t="e">
        <f ca="1">_xll.BDP($M117,J$43)*1</f>
        <v>#NAME?</v>
      </c>
      <c r="K117" s="5" t="s">
        <v>206</v>
      </c>
      <c r="M117" s="56" t="s">
        <v>210</v>
      </c>
      <c r="N117" s="221"/>
      <c r="O117" s="197"/>
      <c r="P117" s="197"/>
      <c r="Q117" s="198"/>
    </row>
    <row r="118" spans="1:17" x14ac:dyDescent="0.25">
      <c r="A118" s="306"/>
      <c r="B118" s="5" t="e">
        <f t="shared" ca="1" si="45"/>
        <v>#NAME?</v>
      </c>
      <c r="C118" s="56" t="e">
        <f ca="1">_xll.BDP($M118,C$43)</f>
        <v>#NAME?</v>
      </c>
      <c r="D118" s="184" t="e">
        <f ca="1">_xll.BDP($M118,D$43)*1</f>
        <v>#NAME?</v>
      </c>
      <c r="E118" s="185" t="e">
        <f ca="1">_xll.BDP($M118,E$43)*1</f>
        <v>#NAME?</v>
      </c>
      <c r="F118" s="17" t="e">
        <f ca="1">_xll.BDP($M118,F$43)*1</f>
        <v>#NAME?</v>
      </c>
      <c r="G118" s="186" t="e">
        <f t="shared" ca="1" si="43"/>
        <v>#NAME?</v>
      </c>
      <c r="H118" s="187" t="e">
        <f t="shared" ca="1" si="44"/>
        <v>#NAME?</v>
      </c>
      <c r="I118" s="187" t="e">
        <f t="shared" ca="1" si="46"/>
        <v>#NAME?</v>
      </c>
      <c r="J118" s="17" t="e">
        <f ca="1">_xll.BDP($M118,J$43)*1</f>
        <v>#NAME?</v>
      </c>
      <c r="K118" s="5" t="s">
        <v>168</v>
      </c>
      <c r="M118" s="56" t="s">
        <v>169</v>
      </c>
      <c r="N118" s="221"/>
      <c r="O118" s="197"/>
      <c r="P118" s="197"/>
      <c r="Q118" s="198"/>
    </row>
    <row r="119" spans="1:17" x14ac:dyDescent="0.25">
      <c r="A119" s="306"/>
      <c r="B119" s="5" t="e">
        <f t="shared" ca="1" si="45"/>
        <v>#NAME?</v>
      </c>
      <c r="C119" s="56" t="e">
        <f ca="1">_xll.BDP($M119,C$43)</f>
        <v>#NAME?</v>
      </c>
      <c r="D119" s="184" t="e">
        <f ca="1">_xll.BDP($M119,D$43)*1</f>
        <v>#NAME?</v>
      </c>
      <c r="E119" s="185" t="e">
        <f ca="1">_xll.BDP($M119,E$43)*1</f>
        <v>#NAME?</v>
      </c>
      <c r="F119" s="17" t="e">
        <f ca="1">_xll.BDP($M119,F$43)*1</f>
        <v>#NAME?</v>
      </c>
      <c r="G119" s="186" t="e">
        <f t="shared" ca="1" si="43"/>
        <v>#NAME?</v>
      </c>
      <c r="H119" s="187" t="e">
        <f t="shared" ca="1" si="44"/>
        <v>#NAME?</v>
      </c>
      <c r="I119" s="187" t="e">
        <f t="shared" ca="1" si="46"/>
        <v>#NAME?</v>
      </c>
      <c r="J119" s="17" t="e">
        <f ca="1">_xll.BDP($M119,J$43)*1</f>
        <v>#NAME?</v>
      </c>
      <c r="K119" s="5" t="s">
        <v>168</v>
      </c>
      <c r="M119" s="56" t="s">
        <v>211</v>
      </c>
      <c r="N119" s="221"/>
      <c r="O119" s="197"/>
      <c r="P119" s="197"/>
      <c r="Q119" s="198"/>
    </row>
    <row r="120" spans="1:17" ht="15.75" thickBot="1" x14ac:dyDescent="0.3">
      <c r="A120" s="306"/>
      <c r="B120" s="5" t="e">
        <f t="shared" ca="1" si="45"/>
        <v>#NAME?</v>
      </c>
      <c r="C120" s="56" t="e">
        <f ca="1">_xll.BDP($M120,C$43)</f>
        <v>#NAME?</v>
      </c>
      <c r="D120" s="184" t="e">
        <f ca="1">_xll.BDP($M120,D$43)*1</f>
        <v>#NAME?</v>
      </c>
      <c r="E120" s="185" t="e">
        <f ca="1">_xll.BDP($M120,E$43)*1</f>
        <v>#NAME?</v>
      </c>
      <c r="F120" s="17" t="e">
        <f ca="1">_xll.BDP($M120,F$43)*1</f>
        <v>#NAME?</v>
      </c>
      <c r="G120" s="186" t="e">
        <f t="shared" ca="1" si="43"/>
        <v>#NAME?</v>
      </c>
      <c r="H120" s="187" t="e">
        <f t="shared" ca="1" si="44"/>
        <v>#NAME?</v>
      </c>
      <c r="I120" s="187" t="e">
        <f t="shared" ca="1" si="46"/>
        <v>#NAME?</v>
      </c>
      <c r="J120" s="17" t="e">
        <f ca="1">_xll.BDP($M120,J$43)*1</f>
        <v>#NAME?</v>
      </c>
      <c r="K120" s="5" t="s">
        <v>168</v>
      </c>
      <c r="M120" s="160" t="s">
        <v>212</v>
      </c>
      <c r="N120" s="222"/>
      <c r="O120" s="197"/>
      <c r="P120" s="197"/>
      <c r="Q120" s="198"/>
    </row>
    <row r="121" spans="1:17" ht="15" customHeight="1" x14ac:dyDescent="0.25">
      <c r="A121" s="308" t="s">
        <v>3</v>
      </c>
      <c r="B121" s="41" t="s">
        <v>213</v>
      </c>
      <c r="C121" s="13" t="e">
        <f ca="1">_xll.BDP($B121,C$43)</f>
        <v>#NAME?</v>
      </c>
      <c r="D121" s="175" t="e">
        <f ca="1">_xll.BDP($B121,D$43)*1</f>
        <v>#NAME?</v>
      </c>
      <c r="E121" s="176" t="e">
        <f ca="1">_xll.BDP($B121,E$43)*1</f>
        <v>#NAME?</v>
      </c>
      <c r="F121" s="13" t="e">
        <f ca="1">_xll.BDP($B121,F$43)*1</f>
        <v>#NAME?</v>
      </c>
      <c r="G121" s="177" t="e">
        <f t="shared" ref="G121" ca="1" si="47">(E121-As_of_date)/365</f>
        <v>#NAME?</v>
      </c>
      <c r="H121" s="178" t="e">
        <f t="shared" ref="H121" ca="1" si="48">(C121/100)*((As_of_date-D121)/365)*100</f>
        <v>#NAME?</v>
      </c>
      <c r="I121" s="179" t="e">
        <f t="shared" ca="1" si="46"/>
        <v>#NAME?</v>
      </c>
      <c r="J121" s="180" t="e">
        <f ca="1">IF($J$42="PROPIO",K121,_xll.BDP($B121,J$43)*1)</f>
        <v>#NAME?</v>
      </c>
      <c r="N121" s="202"/>
      <c r="O121" s="197"/>
      <c r="P121" s="197"/>
      <c r="Q121" s="198"/>
    </row>
    <row r="122" spans="1:17" x14ac:dyDescent="0.25">
      <c r="A122" s="309"/>
      <c r="B122" s="56" t="s">
        <v>214</v>
      </c>
      <c r="C122" s="17" t="e">
        <f ca="1">_xll.BDP($B122,C$43)</f>
        <v>#NAME?</v>
      </c>
      <c r="D122" s="184" t="e">
        <f ca="1">_xll.BDP($B122,D$43)*1</f>
        <v>#NAME?</v>
      </c>
      <c r="E122" s="185" t="e">
        <f ca="1">_xll.BDP($B122,E$43)*1</f>
        <v>#NAME?</v>
      </c>
      <c r="F122" s="17" t="e">
        <f ca="1">_xll.BDP($B122,F$43)*1</f>
        <v>#NAME?</v>
      </c>
      <c r="G122" s="186" t="e">
        <f t="shared" ref="G122:G126" ca="1" si="49">(E122-As_of_date)/365</f>
        <v>#NAME?</v>
      </c>
      <c r="H122" s="187" t="e">
        <f t="shared" ref="H122:H126" ca="1" si="50">(C122/100)*((As_of_date-D122)/365)*100</f>
        <v>#NAME?</v>
      </c>
      <c r="I122" s="188" t="e">
        <f t="shared" ca="1" si="46"/>
        <v>#NAME?</v>
      </c>
      <c r="J122" s="189" t="e">
        <f ca="1">IF($J$42="PROPIO",K122,_xll.BDP($B122,J$43)*1)</f>
        <v>#NAME?</v>
      </c>
      <c r="K122" s="97" t="e">
        <f ca="1">(1+coupon9_UVR/4)^4-1</f>
        <v>#NAME?</v>
      </c>
      <c r="L122" s="77" t="e">
        <f ca="1">+J122%-K122</f>
        <v>#NAME?</v>
      </c>
      <c r="N122" s="202"/>
      <c r="O122" s="197"/>
      <c r="P122" s="197"/>
      <c r="Q122" s="198"/>
    </row>
    <row r="123" spans="1:17" x14ac:dyDescent="0.25">
      <c r="A123" s="309"/>
      <c r="B123" s="56" t="s">
        <v>215</v>
      </c>
      <c r="C123" s="17" t="e">
        <f ca="1">_xll.BDP($B123,C$43)</f>
        <v>#NAME?</v>
      </c>
      <c r="D123" s="184" t="e">
        <f ca="1">_xll.BDP($B123,D$43)*1</f>
        <v>#NAME?</v>
      </c>
      <c r="E123" s="185" t="e">
        <f ca="1">_xll.BDP($B123,E$43)*1</f>
        <v>#NAME?</v>
      </c>
      <c r="F123" s="17" t="e">
        <f ca="1">_xll.BDP($B123,F$43)*1</f>
        <v>#NAME?</v>
      </c>
      <c r="G123" s="186" t="e">
        <f t="shared" ca="1" si="49"/>
        <v>#NAME?</v>
      </c>
      <c r="H123" s="187" t="e">
        <f t="shared" ca="1" si="50"/>
        <v>#NAME?</v>
      </c>
      <c r="I123" s="188" t="e">
        <f t="shared" ca="1" si="46"/>
        <v>#NAME?</v>
      </c>
      <c r="J123" s="189" t="e">
        <f ca="1">IF($J$42="PROPIO",K123,_xll.BDP($B123,J$43)*1)</f>
        <v>#NAME?</v>
      </c>
      <c r="K123" s="97" t="e">
        <f ca="1">(1+coupon11_UVR/4)^4-1</f>
        <v>#NAME?</v>
      </c>
      <c r="L123" s="77" t="e">
        <f ca="1">+J123%-K123</f>
        <v>#NAME?</v>
      </c>
      <c r="N123" s="202"/>
      <c r="O123" s="197"/>
      <c r="P123" s="197"/>
      <c r="Q123" s="198"/>
    </row>
    <row r="124" spans="1:17" x14ac:dyDescent="0.25">
      <c r="A124" s="309"/>
      <c r="B124" s="56" t="s">
        <v>216</v>
      </c>
      <c r="C124" s="17" t="e">
        <f ca="1">_xll.BDP($B124,C$43)</f>
        <v>#NAME?</v>
      </c>
      <c r="D124" s="184" t="e">
        <f ca="1">_xll.BDP($B124,D$43)*1</f>
        <v>#NAME?</v>
      </c>
      <c r="E124" s="185" t="e">
        <f ca="1">_xll.BDP($B124,E$43)*1</f>
        <v>#NAME?</v>
      </c>
      <c r="F124" s="17" t="e">
        <f ca="1">_xll.BDP($B124,F$43)*1</f>
        <v>#NAME?</v>
      </c>
      <c r="G124" s="186" t="e">
        <f t="shared" ca="1" si="49"/>
        <v>#NAME?</v>
      </c>
      <c r="H124" s="187" t="e">
        <f t="shared" ca="1" si="50"/>
        <v>#NAME?</v>
      </c>
      <c r="I124" s="188" t="e">
        <f t="shared" ca="1" si="46"/>
        <v>#NAME?</v>
      </c>
      <c r="J124" s="189" t="e">
        <f ca="1">IF($J$42="PROPIO",K124,_xll.BDP($B124,J$43)*1)</f>
        <v>#NAME?</v>
      </c>
      <c r="K124" s="97" t="e">
        <f ca="1">(1+coupon13_UVR/4)^4-1</f>
        <v>#NAME?</v>
      </c>
      <c r="L124" s="77" t="e">
        <f ca="1">+J124%-K124</f>
        <v>#NAME?</v>
      </c>
      <c r="N124" s="202"/>
      <c r="O124" s="197"/>
      <c r="P124" s="197"/>
      <c r="Q124" s="198"/>
    </row>
    <row r="125" spans="1:17" x14ac:dyDescent="0.25">
      <c r="A125" s="309"/>
      <c r="B125" s="56" t="s">
        <v>217</v>
      </c>
      <c r="C125" s="17" t="e">
        <f ca="1">_xll.BDP($B125,C$43)</f>
        <v>#NAME?</v>
      </c>
      <c r="D125" s="184" t="e">
        <f ca="1">_xll.BDP($B125,D$43)*1</f>
        <v>#NAME?</v>
      </c>
      <c r="E125" s="185" t="e">
        <f ca="1">_xll.BDP($B125,E$43)*1</f>
        <v>#NAME?</v>
      </c>
      <c r="F125" s="17" t="e">
        <f ca="1">_xll.BDP($B125,F$43)*1</f>
        <v>#NAME?</v>
      </c>
      <c r="G125" s="186" t="e">
        <f t="shared" ca="1" si="49"/>
        <v>#NAME?</v>
      </c>
      <c r="H125" s="187" t="e">
        <f t="shared" ca="1" si="50"/>
        <v>#NAME?</v>
      </c>
      <c r="I125" s="188" t="e">
        <f t="shared" ca="1" si="46"/>
        <v>#NAME?</v>
      </c>
      <c r="J125" s="189" t="e">
        <f ca="1">IF($J$42="PROPIO",K125,_xll.BDP($B125,J$43)*1)</f>
        <v>#NAME?</v>
      </c>
      <c r="K125" s="97" t="e">
        <f ca="1">(1+coupon15_UVR/4)^4-1</f>
        <v>#NAME?</v>
      </c>
      <c r="L125" s="77" t="e">
        <f ca="1">+J125%-K125</f>
        <v>#NAME?</v>
      </c>
      <c r="N125" s="202"/>
      <c r="O125" s="197"/>
      <c r="P125" s="197"/>
      <c r="Q125" s="198"/>
    </row>
    <row r="126" spans="1:17" ht="15.75" thickBot="1" x14ac:dyDescent="0.3">
      <c r="A126" s="310"/>
      <c r="B126" s="160" t="s">
        <v>218</v>
      </c>
      <c r="C126" s="28" t="e">
        <f ca="1">_xll.BDP($B126,C$43)</f>
        <v>#NAME?</v>
      </c>
      <c r="D126" s="215" t="e">
        <f ca="1">_xll.BDP($B126,D$43)*1</f>
        <v>#NAME?</v>
      </c>
      <c r="E126" s="216" t="e">
        <f ca="1">_xll.BDP($B126,E$43)*1</f>
        <v>#NAME?</v>
      </c>
      <c r="F126" s="28" t="e">
        <f ca="1">_xll.BDP($B126,F$43)*1</f>
        <v>#NAME?</v>
      </c>
      <c r="G126" s="217" t="e">
        <f t="shared" ca="1" si="49"/>
        <v>#NAME?</v>
      </c>
      <c r="H126" s="218" t="e">
        <f t="shared" ca="1" si="50"/>
        <v>#NAME?</v>
      </c>
      <c r="I126" s="212" t="e">
        <f t="shared" ca="1" si="46"/>
        <v>#NAME?</v>
      </c>
      <c r="J126" s="213" t="e">
        <f ca="1">IF($J$42="PROPIO",K126,_xll.BDP($B126,J$43)*1)</f>
        <v>#NAME?</v>
      </c>
      <c r="K126" s="97"/>
      <c r="N126" s="202"/>
      <c r="O126" s="197"/>
      <c r="P126" s="197"/>
      <c r="Q126" s="198"/>
    </row>
    <row r="127" spans="1:17" x14ac:dyDescent="0.25">
      <c r="A127" s="223"/>
      <c r="D127" s="224"/>
      <c r="E127" s="131"/>
      <c r="G127" s="225"/>
      <c r="H127" s="7"/>
      <c r="I127" s="7"/>
    </row>
  </sheetData>
  <mergeCells count="12">
    <mergeCell ref="A121:A126"/>
    <mergeCell ref="Z2:AC2"/>
    <mergeCell ref="D3:P3"/>
    <mergeCell ref="Z4:AA4"/>
    <mergeCell ref="AB4:AC4"/>
    <mergeCell ref="T26:U26"/>
    <mergeCell ref="A27:K27"/>
    <mergeCell ref="A44:A54"/>
    <mergeCell ref="A55:A63"/>
    <mergeCell ref="A64:A68"/>
    <mergeCell ref="A69:A86"/>
    <mergeCell ref="A87:A120"/>
  </mergeCells>
  <dataValidations count="1">
    <dataValidation type="list" allowBlank="1" showInputMessage="1" showErrorMessage="1" sqref="J42 G2 D2" xr:uid="{36D2BEBB-32C0-47D9-BE2B-00360ABEEC7E}">
      <formula1>$XFD$1:$XFD$2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C2A3-7AA4-4E49-89BE-E3F4200BA4D9}">
  <sheetPr codeName="Sheet2"/>
  <dimension ref="A1:BF61"/>
  <sheetViews>
    <sheetView workbookViewId="0">
      <selection sqref="A1:XFD1048576"/>
    </sheetView>
  </sheetViews>
  <sheetFormatPr defaultColWidth="9.140625" defaultRowHeight="12.75" x14ac:dyDescent="0.2"/>
  <cols>
    <col min="1" max="1" width="5.5703125" style="226" customWidth="1"/>
    <col min="2" max="2" width="11" style="226" bestFit="1" customWidth="1"/>
    <col min="3" max="3" width="14.140625" style="226" bestFit="1" customWidth="1"/>
    <col min="4" max="4" width="15.7109375" style="226" bestFit="1" customWidth="1"/>
    <col min="5" max="5" width="10.85546875" style="226" bestFit="1" customWidth="1"/>
    <col min="6" max="6" width="7.7109375" style="226" bestFit="1" customWidth="1"/>
    <col min="7" max="7" width="13.28515625" style="226" bestFit="1" customWidth="1"/>
    <col min="8" max="8" width="17.28515625" style="226" bestFit="1" customWidth="1"/>
    <col min="9" max="11" width="8.85546875" style="226" bestFit="1" customWidth="1"/>
    <col min="12" max="14" width="8.7109375" style="226" bestFit="1" customWidth="1"/>
    <col min="15" max="15" width="16.140625" style="226" bestFit="1" customWidth="1"/>
    <col min="16" max="256" width="9.140625" style="226"/>
    <col min="257" max="257" width="5.85546875" style="226" bestFit="1" customWidth="1"/>
    <col min="258" max="258" width="11" style="226" bestFit="1" customWidth="1"/>
    <col min="259" max="259" width="14.140625" style="226" bestFit="1" customWidth="1"/>
    <col min="260" max="260" width="15.7109375" style="226" bestFit="1" customWidth="1"/>
    <col min="261" max="261" width="10.85546875" style="226" bestFit="1" customWidth="1"/>
    <col min="262" max="262" width="7.7109375" style="226" bestFit="1" customWidth="1"/>
    <col min="263" max="263" width="13.28515625" style="226" bestFit="1" customWidth="1"/>
    <col min="264" max="264" width="17.28515625" style="226" bestFit="1" customWidth="1"/>
    <col min="265" max="267" width="8.85546875" style="226" bestFit="1" customWidth="1"/>
    <col min="268" max="270" width="8.7109375" style="226" bestFit="1" customWidth="1"/>
    <col min="271" max="271" width="16.140625" style="226" bestFit="1" customWidth="1"/>
    <col min="272" max="512" width="9.140625" style="226"/>
    <col min="513" max="513" width="5.85546875" style="226" bestFit="1" customWidth="1"/>
    <col min="514" max="514" width="11" style="226" bestFit="1" customWidth="1"/>
    <col min="515" max="515" width="14.140625" style="226" bestFit="1" customWidth="1"/>
    <col min="516" max="516" width="15.7109375" style="226" bestFit="1" customWidth="1"/>
    <col min="517" max="517" width="10.85546875" style="226" bestFit="1" customWidth="1"/>
    <col min="518" max="518" width="7.7109375" style="226" bestFit="1" customWidth="1"/>
    <col min="519" max="519" width="13.28515625" style="226" bestFit="1" customWidth="1"/>
    <col min="520" max="520" width="17.28515625" style="226" bestFit="1" customWidth="1"/>
    <col min="521" max="523" width="8.85546875" style="226" bestFit="1" customWidth="1"/>
    <col min="524" max="526" width="8.7109375" style="226" bestFit="1" customWidth="1"/>
    <col min="527" max="527" width="16.140625" style="226" bestFit="1" customWidth="1"/>
    <col min="528" max="768" width="9.140625" style="226"/>
    <col min="769" max="769" width="5.85546875" style="226" bestFit="1" customWidth="1"/>
    <col min="770" max="770" width="11" style="226" bestFit="1" customWidth="1"/>
    <col min="771" max="771" width="14.140625" style="226" bestFit="1" customWidth="1"/>
    <col min="772" max="772" width="15.7109375" style="226" bestFit="1" customWidth="1"/>
    <col min="773" max="773" width="10.85546875" style="226" bestFit="1" customWidth="1"/>
    <col min="774" max="774" width="7.7109375" style="226" bestFit="1" customWidth="1"/>
    <col min="775" max="775" width="13.28515625" style="226" bestFit="1" customWidth="1"/>
    <col min="776" max="776" width="17.28515625" style="226" bestFit="1" customWidth="1"/>
    <col min="777" max="779" width="8.85546875" style="226" bestFit="1" customWidth="1"/>
    <col min="780" max="782" width="8.7109375" style="226" bestFit="1" customWidth="1"/>
    <col min="783" max="783" width="16.140625" style="226" bestFit="1" customWidth="1"/>
    <col min="784" max="1024" width="9.140625" style="226"/>
    <col min="1025" max="1025" width="5.85546875" style="226" bestFit="1" customWidth="1"/>
    <col min="1026" max="1026" width="11" style="226" bestFit="1" customWidth="1"/>
    <col min="1027" max="1027" width="14.140625" style="226" bestFit="1" customWidth="1"/>
    <col min="1028" max="1028" width="15.7109375" style="226" bestFit="1" customWidth="1"/>
    <col min="1029" max="1029" width="10.85546875" style="226" bestFit="1" customWidth="1"/>
    <col min="1030" max="1030" width="7.7109375" style="226" bestFit="1" customWidth="1"/>
    <col min="1031" max="1031" width="13.28515625" style="226" bestFit="1" customWidth="1"/>
    <col min="1032" max="1032" width="17.28515625" style="226" bestFit="1" customWidth="1"/>
    <col min="1033" max="1035" width="8.85546875" style="226" bestFit="1" customWidth="1"/>
    <col min="1036" max="1038" width="8.7109375" style="226" bestFit="1" customWidth="1"/>
    <col min="1039" max="1039" width="16.140625" style="226" bestFit="1" customWidth="1"/>
    <col min="1040" max="1280" width="9.140625" style="226"/>
    <col min="1281" max="1281" width="5.85546875" style="226" bestFit="1" customWidth="1"/>
    <col min="1282" max="1282" width="11" style="226" bestFit="1" customWidth="1"/>
    <col min="1283" max="1283" width="14.140625" style="226" bestFit="1" customWidth="1"/>
    <col min="1284" max="1284" width="15.7109375" style="226" bestFit="1" customWidth="1"/>
    <col min="1285" max="1285" width="10.85546875" style="226" bestFit="1" customWidth="1"/>
    <col min="1286" max="1286" width="7.7109375" style="226" bestFit="1" customWidth="1"/>
    <col min="1287" max="1287" width="13.28515625" style="226" bestFit="1" customWidth="1"/>
    <col min="1288" max="1288" width="17.28515625" style="226" bestFit="1" customWidth="1"/>
    <col min="1289" max="1291" width="8.85546875" style="226" bestFit="1" customWidth="1"/>
    <col min="1292" max="1294" width="8.7109375" style="226" bestFit="1" customWidth="1"/>
    <col min="1295" max="1295" width="16.140625" style="226" bestFit="1" customWidth="1"/>
    <col min="1296" max="1536" width="9.140625" style="226"/>
    <col min="1537" max="1537" width="5.85546875" style="226" bestFit="1" customWidth="1"/>
    <col min="1538" max="1538" width="11" style="226" bestFit="1" customWidth="1"/>
    <col min="1539" max="1539" width="14.140625" style="226" bestFit="1" customWidth="1"/>
    <col min="1540" max="1540" width="15.7109375" style="226" bestFit="1" customWidth="1"/>
    <col min="1541" max="1541" width="10.85546875" style="226" bestFit="1" customWidth="1"/>
    <col min="1542" max="1542" width="7.7109375" style="226" bestFit="1" customWidth="1"/>
    <col min="1543" max="1543" width="13.28515625" style="226" bestFit="1" customWidth="1"/>
    <col min="1544" max="1544" width="17.28515625" style="226" bestFit="1" customWidth="1"/>
    <col min="1545" max="1547" width="8.85546875" style="226" bestFit="1" customWidth="1"/>
    <col min="1548" max="1550" width="8.7109375" style="226" bestFit="1" customWidth="1"/>
    <col min="1551" max="1551" width="16.140625" style="226" bestFit="1" customWidth="1"/>
    <col min="1552" max="1792" width="9.140625" style="226"/>
    <col min="1793" max="1793" width="5.85546875" style="226" bestFit="1" customWidth="1"/>
    <col min="1794" max="1794" width="11" style="226" bestFit="1" customWidth="1"/>
    <col min="1795" max="1795" width="14.140625" style="226" bestFit="1" customWidth="1"/>
    <col min="1796" max="1796" width="15.7109375" style="226" bestFit="1" customWidth="1"/>
    <col min="1797" max="1797" width="10.85546875" style="226" bestFit="1" customWidth="1"/>
    <col min="1798" max="1798" width="7.7109375" style="226" bestFit="1" customWidth="1"/>
    <col min="1799" max="1799" width="13.28515625" style="226" bestFit="1" customWidth="1"/>
    <col min="1800" max="1800" width="17.28515625" style="226" bestFit="1" customWidth="1"/>
    <col min="1801" max="1803" width="8.85546875" style="226" bestFit="1" customWidth="1"/>
    <col min="1804" max="1806" width="8.7109375" style="226" bestFit="1" customWidth="1"/>
    <col min="1807" max="1807" width="16.140625" style="226" bestFit="1" customWidth="1"/>
    <col min="1808" max="2048" width="9.140625" style="226"/>
    <col min="2049" max="2049" width="5.85546875" style="226" bestFit="1" customWidth="1"/>
    <col min="2050" max="2050" width="11" style="226" bestFit="1" customWidth="1"/>
    <col min="2051" max="2051" width="14.140625" style="226" bestFit="1" customWidth="1"/>
    <col min="2052" max="2052" width="15.7109375" style="226" bestFit="1" customWidth="1"/>
    <col min="2053" max="2053" width="10.85546875" style="226" bestFit="1" customWidth="1"/>
    <col min="2054" max="2054" width="7.7109375" style="226" bestFit="1" customWidth="1"/>
    <col min="2055" max="2055" width="13.28515625" style="226" bestFit="1" customWidth="1"/>
    <col min="2056" max="2056" width="17.28515625" style="226" bestFit="1" customWidth="1"/>
    <col min="2057" max="2059" width="8.85546875" style="226" bestFit="1" customWidth="1"/>
    <col min="2060" max="2062" width="8.7109375" style="226" bestFit="1" customWidth="1"/>
    <col min="2063" max="2063" width="16.140625" style="226" bestFit="1" customWidth="1"/>
    <col min="2064" max="2304" width="9.140625" style="226"/>
    <col min="2305" max="2305" width="5.85546875" style="226" bestFit="1" customWidth="1"/>
    <col min="2306" max="2306" width="11" style="226" bestFit="1" customWidth="1"/>
    <col min="2307" max="2307" width="14.140625" style="226" bestFit="1" customWidth="1"/>
    <col min="2308" max="2308" width="15.7109375" style="226" bestFit="1" customWidth="1"/>
    <col min="2309" max="2309" width="10.85546875" style="226" bestFit="1" customWidth="1"/>
    <col min="2310" max="2310" width="7.7109375" style="226" bestFit="1" customWidth="1"/>
    <col min="2311" max="2311" width="13.28515625" style="226" bestFit="1" customWidth="1"/>
    <col min="2312" max="2312" width="17.28515625" style="226" bestFit="1" customWidth="1"/>
    <col min="2313" max="2315" width="8.85546875" style="226" bestFit="1" customWidth="1"/>
    <col min="2316" max="2318" width="8.7109375" style="226" bestFit="1" customWidth="1"/>
    <col min="2319" max="2319" width="16.140625" style="226" bestFit="1" customWidth="1"/>
    <col min="2320" max="2560" width="9.140625" style="226"/>
    <col min="2561" max="2561" width="5.85546875" style="226" bestFit="1" customWidth="1"/>
    <col min="2562" max="2562" width="11" style="226" bestFit="1" customWidth="1"/>
    <col min="2563" max="2563" width="14.140625" style="226" bestFit="1" customWidth="1"/>
    <col min="2564" max="2564" width="15.7109375" style="226" bestFit="1" customWidth="1"/>
    <col min="2565" max="2565" width="10.85546875" style="226" bestFit="1" customWidth="1"/>
    <col min="2566" max="2566" width="7.7109375" style="226" bestFit="1" customWidth="1"/>
    <col min="2567" max="2567" width="13.28515625" style="226" bestFit="1" customWidth="1"/>
    <col min="2568" max="2568" width="17.28515625" style="226" bestFit="1" customWidth="1"/>
    <col min="2569" max="2571" width="8.85546875" style="226" bestFit="1" customWidth="1"/>
    <col min="2572" max="2574" width="8.7109375" style="226" bestFit="1" customWidth="1"/>
    <col min="2575" max="2575" width="16.140625" style="226" bestFit="1" customWidth="1"/>
    <col min="2576" max="2816" width="9.140625" style="226"/>
    <col min="2817" max="2817" width="5.85546875" style="226" bestFit="1" customWidth="1"/>
    <col min="2818" max="2818" width="11" style="226" bestFit="1" customWidth="1"/>
    <col min="2819" max="2819" width="14.140625" style="226" bestFit="1" customWidth="1"/>
    <col min="2820" max="2820" width="15.7109375" style="226" bestFit="1" customWidth="1"/>
    <col min="2821" max="2821" width="10.85546875" style="226" bestFit="1" customWidth="1"/>
    <col min="2822" max="2822" width="7.7109375" style="226" bestFit="1" customWidth="1"/>
    <col min="2823" max="2823" width="13.28515625" style="226" bestFit="1" customWidth="1"/>
    <col min="2824" max="2824" width="17.28515625" style="226" bestFit="1" customWidth="1"/>
    <col min="2825" max="2827" width="8.85546875" style="226" bestFit="1" customWidth="1"/>
    <col min="2828" max="2830" width="8.7109375" style="226" bestFit="1" customWidth="1"/>
    <col min="2831" max="2831" width="16.140625" style="226" bestFit="1" customWidth="1"/>
    <col min="2832" max="3072" width="9.140625" style="226"/>
    <col min="3073" max="3073" width="5.85546875" style="226" bestFit="1" customWidth="1"/>
    <col min="3074" max="3074" width="11" style="226" bestFit="1" customWidth="1"/>
    <col min="3075" max="3075" width="14.140625" style="226" bestFit="1" customWidth="1"/>
    <col min="3076" max="3076" width="15.7109375" style="226" bestFit="1" customWidth="1"/>
    <col min="3077" max="3077" width="10.85546875" style="226" bestFit="1" customWidth="1"/>
    <col min="3078" max="3078" width="7.7109375" style="226" bestFit="1" customWidth="1"/>
    <col min="3079" max="3079" width="13.28515625" style="226" bestFit="1" customWidth="1"/>
    <col min="3080" max="3080" width="17.28515625" style="226" bestFit="1" customWidth="1"/>
    <col min="3081" max="3083" width="8.85546875" style="226" bestFit="1" customWidth="1"/>
    <col min="3084" max="3086" width="8.7109375" style="226" bestFit="1" customWidth="1"/>
    <col min="3087" max="3087" width="16.140625" style="226" bestFit="1" customWidth="1"/>
    <col min="3088" max="3328" width="9.140625" style="226"/>
    <col min="3329" max="3329" width="5.85546875" style="226" bestFit="1" customWidth="1"/>
    <col min="3330" max="3330" width="11" style="226" bestFit="1" customWidth="1"/>
    <col min="3331" max="3331" width="14.140625" style="226" bestFit="1" customWidth="1"/>
    <col min="3332" max="3332" width="15.7109375" style="226" bestFit="1" customWidth="1"/>
    <col min="3333" max="3333" width="10.85546875" style="226" bestFit="1" customWidth="1"/>
    <col min="3334" max="3334" width="7.7109375" style="226" bestFit="1" customWidth="1"/>
    <col min="3335" max="3335" width="13.28515625" style="226" bestFit="1" customWidth="1"/>
    <col min="3336" max="3336" width="17.28515625" style="226" bestFit="1" customWidth="1"/>
    <col min="3337" max="3339" width="8.85546875" style="226" bestFit="1" customWidth="1"/>
    <col min="3340" max="3342" width="8.7109375" style="226" bestFit="1" customWidth="1"/>
    <col min="3343" max="3343" width="16.140625" style="226" bestFit="1" customWidth="1"/>
    <col min="3344" max="3584" width="9.140625" style="226"/>
    <col min="3585" max="3585" width="5.85546875" style="226" bestFit="1" customWidth="1"/>
    <col min="3586" max="3586" width="11" style="226" bestFit="1" customWidth="1"/>
    <col min="3587" max="3587" width="14.140625" style="226" bestFit="1" customWidth="1"/>
    <col min="3588" max="3588" width="15.7109375" style="226" bestFit="1" customWidth="1"/>
    <col min="3589" max="3589" width="10.85546875" style="226" bestFit="1" customWidth="1"/>
    <col min="3590" max="3590" width="7.7109375" style="226" bestFit="1" customWidth="1"/>
    <col min="3591" max="3591" width="13.28515625" style="226" bestFit="1" customWidth="1"/>
    <col min="3592" max="3592" width="17.28515625" style="226" bestFit="1" customWidth="1"/>
    <col min="3593" max="3595" width="8.85546875" style="226" bestFit="1" customWidth="1"/>
    <col min="3596" max="3598" width="8.7109375" style="226" bestFit="1" customWidth="1"/>
    <col min="3599" max="3599" width="16.140625" style="226" bestFit="1" customWidth="1"/>
    <col min="3600" max="3840" width="9.140625" style="226"/>
    <col min="3841" max="3841" width="5.85546875" style="226" bestFit="1" customWidth="1"/>
    <col min="3842" max="3842" width="11" style="226" bestFit="1" customWidth="1"/>
    <col min="3843" max="3843" width="14.140625" style="226" bestFit="1" customWidth="1"/>
    <col min="3844" max="3844" width="15.7109375" style="226" bestFit="1" customWidth="1"/>
    <col min="3845" max="3845" width="10.85546875" style="226" bestFit="1" customWidth="1"/>
    <col min="3846" max="3846" width="7.7109375" style="226" bestFit="1" customWidth="1"/>
    <col min="3847" max="3847" width="13.28515625" style="226" bestFit="1" customWidth="1"/>
    <col min="3848" max="3848" width="17.28515625" style="226" bestFit="1" customWidth="1"/>
    <col min="3849" max="3851" width="8.85546875" style="226" bestFit="1" customWidth="1"/>
    <col min="3852" max="3854" width="8.7109375" style="226" bestFit="1" customWidth="1"/>
    <col min="3855" max="3855" width="16.140625" style="226" bestFit="1" customWidth="1"/>
    <col min="3856" max="4096" width="9.140625" style="226"/>
    <col min="4097" max="4097" width="5.85546875" style="226" bestFit="1" customWidth="1"/>
    <col min="4098" max="4098" width="11" style="226" bestFit="1" customWidth="1"/>
    <col min="4099" max="4099" width="14.140625" style="226" bestFit="1" customWidth="1"/>
    <col min="4100" max="4100" width="15.7109375" style="226" bestFit="1" customWidth="1"/>
    <col min="4101" max="4101" width="10.85546875" style="226" bestFit="1" customWidth="1"/>
    <col min="4102" max="4102" width="7.7109375" style="226" bestFit="1" customWidth="1"/>
    <col min="4103" max="4103" width="13.28515625" style="226" bestFit="1" customWidth="1"/>
    <col min="4104" max="4104" width="17.28515625" style="226" bestFit="1" customWidth="1"/>
    <col min="4105" max="4107" width="8.85546875" style="226" bestFit="1" customWidth="1"/>
    <col min="4108" max="4110" width="8.7109375" style="226" bestFit="1" customWidth="1"/>
    <col min="4111" max="4111" width="16.140625" style="226" bestFit="1" customWidth="1"/>
    <col min="4112" max="4352" width="9.140625" style="226"/>
    <col min="4353" max="4353" width="5.85546875" style="226" bestFit="1" customWidth="1"/>
    <col min="4354" max="4354" width="11" style="226" bestFit="1" customWidth="1"/>
    <col min="4355" max="4355" width="14.140625" style="226" bestFit="1" customWidth="1"/>
    <col min="4356" max="4356" width="15.7109375" style="226" bestFit="1" customWidth="1"/>
    <col min="4357" max="4357" width="10.85546875" style="226" bestFit="1" customWidth="1"/>
    <col min="4358" max="4358" width="7.7109375" style="226" bestFit="1" customWidth="1"/>
    <col min="4359" max="4359" width="13.28515625" style="226" bestFit="1" customWidth="1"/>
    <col min="4360" max="4360" width="17.28515625" style="226" bestFit="1" customWidth="1"/>
    <col min="4361" max="4363" width="8.85546875" style="226" bestFit="1" customWidth="1"/>
    <col min="4364" max="4366" width="8.7109375" style="226" bestFit="1" customWidth="1"/>
    <col min="4367" max="4367" width="16.140625" style="226" bestFit="1" customWidth="1"/>
    <col min="4368" max="4608" width="9.140625" style="226"/>
    <col min="4609" max="4609" width="5.85546875" style="226" bestFit="1" customWidth="1"/>
    <col min="4610" max="4610" width="11" style="226" bestFit="1" customWidth="1"/>
    <col min="4611" max="4611" width="14.140625" style="226" bestFit="1" customWidth="1"/>
    <col min="4612" max="4612" width="15.7109375" style="226" bestFit="1" customWidth="1"/>
    <col min="4613" max="4613" width="10.85546875" style="226" bestFit="1" customWidth="1"/>
    <col min="4614" max="4614" width="7.7109375" style="226" bestFit="1" customWidth="1"/>
    <col min="4615" max="4615" width="13.28515625" style="226" bestFit="1" customWidth="1"/>
    <col min="4616" max="4616" width="17.28515625" style="226" bestFit="1" customWidth="1"/>
    <col min="4617" max="4619" width="8.85546875" style="226" bestFit="1" customWidth="1"/>
    <col min="4620" max="4622" width="8.7109375" style="226" bestFit="1" customWidth="1"/>
    <col min="4623" max="4623" width="16.140625" style="226" bestFit="1" customWidth="1"/>
    <col min="4624" max="4864" width="9.140625" style="226"/>
    <col min="4865" max="4865" width="5.85546875" style="226" bestFit="1" customWidth="1"/>
    <col min="4866" max="4866" width="11" style="226" bestFit="1" customWidth="1"/>
    <col min="4867" max="4867" width="14.140625" style="226" bestFit="1" customWidth="1"/>
    <col min="4868" max="4868" width="15.7109375" style="226" bestFit="1" customWidth="1"/>
    <col min="4869" max="4869" width="10.85546875" style="226" bestFit="1" customWidth="1"/>
    <col min="4870" max="4870" width="7.7109375" style="226" bestFit="1" customWidth="1"/>
    <col min="4871" max="4871" width="13.28515625" style="226" bestFit="1" customWidth="1"/>
    <col min="4872" max="4872" width="17.28515625" style="226" bestFit="1" customWidth="1"/>
    <col min="4873" max="4875" width="8.85546875" style="226" bestFit="1" customWidth="1"/>
    <col min="4876" max="4878" width="8.7109375" style="226" bestFit="1" customWidth="1"/>
    <col min="4879" max="4879" width="16.140625" style="226" bestFit="1" customWidth="1"/>
    <col min="4880" max="5120" width="9.140625" style="226"/>
    <col min="5121" max="5121" width="5.85546875" style="226" bestFit="1" customWidth="1"/>
    <col min="5122" max="5122" width="11" style="226" bestFit="1" customWidth="1"/>
    <col min="5123" max="5123" width="14.140625" style="226" bestFit="1" customWidth="1"/>
    <col min="5124" max="5124" width="15.7109375" style="226" bestFit="1" customWidth="1"/>
    <col min="5125" max="5125" width="10.85546875" style="226" bestFit="1" customWidth="1"/>
    <col min="5126" max="5126" width="7.7109375" style="226" bestFit="1" customWidth="1"/>
    <col min="5127" max="5127" width="13.28515625" style="226" bestFit="1" customWidth="1"/>
    <col min="5128" max="5128" width="17.28515625" style="226" bestFit="1" customWidth="1"/>
    <col min="5129" max="5131" width="8.85546875" style="226" bestFit="1" customWidth="1"/>
    <col min="5132" max="5134" width="8.7109375" style="226" bestFit="1" customWidth="1"/>
    <col min="5135" max="5135" width="16.140625" style="226" bestFit="1" customWidth="1"/>
    <col min="5136" max="5376" width="9.140625" style="226"/>
    <col min="5377" max="5377" width="5.85546875" style="226" bestFit="1" customWidth="1"/>
    <col min="5378" max="5378" width="11" style="226" bestFit="1" customWidth="1"/>
    <col min="5379" max="5379" width="14.140625" style="226" bestFit="1" customWidth="1"/>
    <col min="5380" max="5380" width="15.7109375" style="226" bestFit="1" customWidth="1"/>
    <col min="5381" max="5381" width="10.85546875" style="226" bestFit="1" customWidth="1"/>
    <col min="5382" max="5382" width="7.7109375" style="226" bestFit="1" customWidth="1"/>
    <col min="5383" max="5383" width="13.28515625" style="226" bestFit="1" customWidth="1"/>
    <col min="5384" max="5384" width="17.28515625" style="226" bestFit="1" customWidth="1"/>
    <col min="5385" max="5387" width="8.85546875" style="226" bestFit="1" customWidth="1"/>
    <col min="5388" max="5390" width="8.7109375" style="226" bestFit="1" customWidth="1"/>
    <col min="5391" max="5391" width="16.140625" style="226" bestFit="1" customWidth="1"/>
    <col min="5392" max="5632" width="9.140625" style="226"/>
    <col min="5633" max="5633" width="5.85546875" style="226" bestFit="1" customWidth="1"/>
    <col min="5634" max="5634" width="11" style="226" bestFit="1" customWidth="1"/>
    <col min="5635" max="5635" width="14.140625" style="226" bestFit="1" customWidth="1"/>
    <col min="5636" max="5636" width="15.7109375" style="226" bestFit="1" customWidth="1"/>
    <col min="5637" max="5637" width="10.85546875" style="226" bestFit="1" customWidth="1"/>
    <col min="5638" max="5638" width="7.7109375" style="226" bestFit="1" customWidth="1"/>
    <col min="5639" max="5639" width="13.28515625" style="226" bestFit="1" customWidth="1"/>
    <col min="5640" max="5640" width="17.28515625" style="226" bestFit="1" customWidth="1"/>
    <col min="5641" max="5643" width="8.85546875" style="226" bestFit="1" customWidth="1"/>
    <col min="5644" max="5646" width="8.7109375" style="226" bestFit="1" customWidth="1"/>
    <col min="5647" max="5647" width="16.140625" style="226" bestFit="1" customWidth="1"/>
    <col min="5648" max="5888" width="9.140625" style="226"/>
    <col min="5889" max="5889" width="5.85546875" style="226" bestFit="1" customWidth="1"/>
    <col min="5890" max="5890" width="11" style="226" bestFit="1" customWidth="1"/>
    <col min="5891" max="5891" width="14.140625" style="226" bestFit="1" customWidth="1"/>
    <col min="5892" max="5892" width="15.7109375" style="226" bestFit="1" customWidth="1"/>
    <col min="5893" max="5893" width="10.85546875" style="226" bestFit="1" customWidth="1"/>
    <col min="5894" max="5894" width="7.7109375" style="226" bestFit="1" customWidth="1"/>
    <col min="5895" max="5895" width="13.28515625" style="226" bestFit="1" customWidth="1"/>
    <col min="5896" max="5896" width="17.28515625" style="226" bestFit="1" customWidth="1"/>
    <col min="5897" max="5899" width="8.85546875" style="226" bestFit="1" customWidth="1"/>
    <col min="5900" max="5902" width="8.7109375" style="226" bestFit="1" customWidth="1"/>
    <col min="5903" max="5903" width="16.140625" style="226" bestFit="1" customWidth="1"/>
    <col min="5904" max="6144" width="9.140625" style="226"/>
    <col min="6145" max="6145" width="5.85546875" style="226" bestFit="1" customWidth="1"/>
    <col min="6146" max="6146" width="11" style="226" bestFit="1" customWidth="1"/>
    <col min="6147" max="6147" width="14.140625" style="226" bestFit="1" customWidth="1"/>
    <col min="6148" max="6148" width="15.7109375" style="226" bestFit="1" customWidth="1"/>
    <col min="6149" max="6149" width="10.85546875" style="226" bestFit="1" customWidth="1"/>
    <col min="6150" max="6150" width="7.7109375" style="226" bestFit="1" customWidth="1"/>
    <col min="6151" max="6151" width="13.28515625" style="226" bestFit="1" customWidth="1"/>
    <col min="6152" max="6152" width="17.28515625" style="226" bestFit="1" customWidth="1"/>
    <col min="6153" max="6155" width="8.85546875" style="226" bestFit="1" customWidth="1"/>
    <col min="6156" max="6158" width="8.7109375" style="226" bestFit="1" customWidth="1"/>
    <col min="6159" max="6159" width="16.140625" style="226" bestFit="1" customWidth="1"/>
    <col min="6160" max="6400" width="9.140625" style="226"/>
    <col min="6401" max="6401" width="5.85546875" style="226" bestFit="1" customWidth="1"/>
    <col min="6402" max="6402" width="11" style="226" bestFit="1" customWidth="1"/>
    <col min="6403" max="6403" width="14.140625" style="226" bestFit="1" customWidth="1"/>
    <col min="6404" max="6404" width="15.7109375" style="226" bestFit="1" customWidth="1"/>
    <col min="6405" max="6405" width="10.85546875" style="226" bestFit="1" customWidth="1"/>
    <col min="6406" max="6406" width="7.7109375" style="226" bestFit="1" customWidth="1"/>
    <col min="6407" max="6407" width="13.28515625" style="226" bestFit="1" customWidth="1"/>
    <col min="6408" max="6408" width="17.28515625" style="226" bestFit="1" customWidth="1"/>
    <col min="6409" max="6411" width="8.85546875" style="226" bestFit="1" customWidth="1"/>
    <col min="6412" max="6414" width="8.7109375" style="226" bestFit="1" customWidth="1"/>
    <col min="6415" max="6415" width="16.140625" style="226" bestFit="1" customWidth="1"/>
    <col min="6416" max="6656" width="9.140625" style="226"/>
    <col min="6657" max="6657" width="5.85546875" style="226" bestFit="1" customWidth="1"/>
    <col min="6658" max="6658" width="11" style="226" bestFit="1" customWidth="1"/>
    <col min="6659" max="6659" width="14.140625" style="226" bestFit="1" customWidth="1"/>
    <col min="6660" max="6660" width="15.7109375" style="226" bestFit="1" customWidth="1"/>
    <col min="6661" max="6661" width="10.85546875" style="226" bestFit="1" customWidth="1"/>
    <col min="6662" max="6662" width="7.7109375" style="226" bestFit="1" customWidth="1"/>
    <col min="6663" max="6663" width="13.28515625" style="226" bestFit="1" customWidth="1"/>
    <col min="6664" max="6664" width="17.28515625" style="226" bestFit="1" customWidth="1"/>
    <col min="6665" max="6667" width="8.85546875" style="226" bestFit="1" customWidth="1"/>
    <col min="6668" max="6670" width="8.7109375" style="226" bestFit="1" customWidth="1"/>
    <col min="6671" max="6671" width="16.140625" style="226" bestFit="1" customWidth="1"/>
    <col min="6672" max="6912" width="9.140625" style="226"/>
    <col min="6913" max="6913" width="5.85546875" style="226" bestFit="1" customWidth="1"/>
    <col min="6914" max="6914" width="11" style="226" bestFit="1" customWidth="1"/>
    <col min="6915" max="6915" width="14.140625" style="226" bestFit="1" customWidth="1"/>
    <col min="6916" max="6916" width="15.7109375" style="226" bestFit="1" customWidth="1"/>
    <col min="6917" max="6917" width="10.85546875" style="226" bestFit="1" customWidth="1"/>
    <col min="6918" max="6918" width="7.7109375" style="226" bestFit="1" customWidth="1"/>
    <col min="6919" max="6919" width="13.28515625" style="226" bestFit="1" customWidth="1"/>
    <col min="6920" max="6920" width="17.28515625" style="226" bestFit="1" customWidth="1"/>
    <col min="6921" max="6923" width="8.85546875" style="226" bestFit="1" customWidth="1"/>
    <col min="6924" max="6926" width="8.7109375" style="226" bestFit="1" customWidth="1"/>
    <col min="6927" max="6927" width="16.140625" style="226" bestFit="1" customWidth="1"/>
    <col min="6928" max="7168" width="9.140625" style="226"/>
    <col min="7169" max="7169" width="5.85546875" style="226" bestFit="1" customWidth="1"/>
    <col min="7170" max="7170" width="11" style="226" bestFit="1" customWidth="1"/>
    <col min="7171" max="7171" width="14.140625" style="226" bestFit="1" customWidth="1"/>
    <col min="7172" max="7172" width="15.7109375" style="226" bestFit="1" customWidth="1"/>
    <col min="7173" max="7173" width="10.85546875" style="226" bestFit="1" customWidth="1"/>
    <col min="7174" max="7174" width="7.7109375" style="226" bestFit="1" customWidth="1"/>
    <col min="7175" max="7175" width="13.28515625" style="226" bestFit="1" customWidth="1"/>
    <col min="7176" max="7176" width="17.28515625" style="226" bestFit="1" customWidth="1"/>
    <col min="7177" max="7179" width="8.85546875" style="226" bestFit="1" customWidth="1"/>
    <col min="7180" max="7182" width="8.7109375" style="226" bestFit="1" customWidth="1"/>
    <col min="7183" max="7183" width="16.140625" style="226" bestFit="1" customWidth="1"/>
    <col min="7184" max="7424" width="9.140625" style="226"/>
    <col min="7425" max="7425" width="5.85546875" style="226" bestFit="1" customWidth="1"/>
    <col min="7426" max="7426" width="11" style="226" bestFit="1" customWidth="1"/>
    <col min="7427" max="7427" width="14.140625" style="226" bestFit="1" customWidth="1"/>
    <col min="7428" max="7428" width="15.7109375" style="226" bestFit="1" customWidth="1"/>
    <col min="7429" max="7429" width="10.85546875" style="226" bestFit="1" customWidth="1"/>
    <col min="7430" max="7430" width="7.7109375" style="226" bestFit="1" customWidth="1"/>
    <col min="7431" max="7431" width="13.28515625" style="226" bestFit="1" customWidth="1"/>
    <col min="7432" max="7432" width="17.28515625" style="226" bestFit="1" customWidth="1"/>
    <col min="7433" max="7435" width="8.85546875" style="226" bestFit="1" customWidth="1"/>
    <col min="7436" max="7438" width="8.7109375" style="226" bestFit="1" customWidth="1"/>
    <col min="7439" max="7439" width="16.140625" style="226" bestFit="1" customWidth="1"/>
    <col min="7440" max="7680" width="9.140625" style="226"/>
    <col min="7681" max="7681" width="5.85546875" style="226" bestFit="1" customWidth="1"/>
    <col min="7682" max="7682" width="11" style="226" bestFit="1" customWidth="1"/>
    <col min="7683" max="7683" width="14.140625" style="226" bestFit="1" customWidth="1"/>
    <col min="7684" max="7684" width="15.7109375" style="226" bestFit="1" customWidth="1"/>
    <col min="7685" max="7685" width="10.85546875" style="226" bestFit="1" customWidth="1"/>
    <col min="7686" max="7686" width="7.7109375" style="226" bestFit="1" customWidth="1"/>
    <col min="7687" max="7687" width="13.28515625" style="226" bestFit="1" customWidth="1"/>
    <col min="7688" max="7688" width="17.28515625" style="226" bestFit="1" customWidth="1"/>
    <col min="7689" max="7691" width="8.85546875" style="226" bestFit="1" customWidth="1"/>
    <col min="7692" max="7694" width="8.7109375" style="226" bestFit="1" customWidth="1"/>
    <col min="7695" max="7695" width="16.140625" style="226" bestFit="1" customWidth="1"/>
    <col min="7696" max="7936" width="9.140625" style="226"/>
    <col min="7937" max="7937" width="5.85546875" style="226" bestFit="1" customWidth="1"/>
    <col min="7938" max="7938" width="11" style="226" bestFit="1" customWidth="1"/>
    <col min="7939" max="7939" width="14.140625" style="226" bestFit="1" customWidth="1"/>
    <col min="7940" max="7940" width="15.7109375" style="226" bestFit="1" customWidth="1"/>
    <col min="7941" max="7941" width="10.85546875" style="226" bestFit="1" customWidth="1"/>
    <col min="7942" max="7942" width="7.7109375" style="226" bestFit="1" customWidth="1"/>
    <col min="7943" max="7943" width="13.28515625" style="226" bestFit="1" customWidth="1"/>
    <col min="7944" max="7944" width="17.28515625" style="226" bestFit="1" customWidth="1"/>
    <col min="7945" max="7947" width="8.85546875" style="226" bestFit="1" customWidth="1"/>
    <col min="7948" max="7950" width="8.7109375" style="226" bestFit="1" customWidth="1"/>
    <col min="7951" max="7951" width="16.140625" style="226" bestFit="1" customWidth="1"/>
    <col min="7952" max="8192" width="9.140625" style="226"/>
    <col min="8193" max="8193" width="5.85546875" style="226" bestFit="1" customWidth="1"/>
    <col min="8194" max="8194" width="11" style="226" bestFit="1" customWidth="1"/>
    <col min="8195" max="8195" width="14.140625" style="226" bestFit="1" customWidth="1"/>
    <col min="8196" max="8196" width="15.7109375" style="226" bestFit="1" customWidth="1"/>
    <col min="8197" max="8197" width="10.85546875" style="226" bestFit="1" customWidth="1"/>
    <col min="8198" max="8198" width="7.7109375" style="226" bestFit="1" customWidth="1"/>
    <col min="8199" max="8199" width="13.28515625" style="226" bestFit="1" customWidth="1"/>
    <col min="8200" max="8200" width="17.28515625" style="226" bestFit="1" customWidth="1"/>
    <col min="8201" max="8203" width="8.85546875" style="226" bestFit="1" customWidth="1"/>
    <col min="8204" max="8206" width="8.7109375" style="226" bestFit="1" customWidth="1"/>
    <col min="8207" max="8207" width="16.140625" style="226" bestFit="1" customWidth="1"/>
    <col min="8208" max="8448" width="9.140625" style="226"/>
    <col min="8449" max="8449" width="5.85546875" style="226" bestFit="1" customWidth="1"/>
    <col min="8450" max="8450" width="11" style="226" bestFit="1" customWidth="1"/>
    <col min="8451" max="8451" width="14.140625" style="226" bestFit="1" customWidth="1"/>
    <col min="8452" max="8452" width="15.7109375" style="226" bestFit="1" customWidth="1"/>
    <col min="8453" max="8453" width="10.85546875" style="226" bestFit="1" customWidth="1"/>
    <col min="8454" max="8454" width="7.7109375" style="226" bestFit="1" customWidth="1"/>
    <col min="8455" max="8455" width="13.28515625" style="226" bestFit="1" customWidth="1"/>
    <col min="8456" max="8456" width="17.28515625" style="226" bestFit="1" customWidth="1"/>
    <col min="8457" max="8459" width="8.85546875" style="226" bestFit="1" customWidth="1"/>
    <col min="8460" max="8462" width="8.7109375" style="226" bestFit="1" customWidth="1"/>
    <col min="8463" max="8463" width="16.140625" style="226" bestFit="1" customWidth="1"/>
    <col min="8464" max="8704" width="9.140625" style="226"/>
    <col min="8705" max="8705" width="5.85546875" style="226" bestFit="1" customWidth="1"/>
    <col min="8706" max="8706" width="11" style="226" bestFit="1" customWidth="1"/>
    <col min="8707" max="8707" width="14.140625" style="226" bestFit="1" customWidth="1"/>
    <col min="8708" max="8708" width="15.7109375" style="226" bestFit="1" customWidth="1"/>
    <col min="8709" max="8709" width="10.85546875" style="226" bestFit="1" customWidth="1"/>
    <col min="8710" max="8710" width="7.7109375" style="226" bestFit="1" customWidth="1"/>
    <col min="8711" max="8711" width="13.28515625" style="226" bestFit="1" customWidth="1"/>
    <col min="8712" max="8712" width="17.28515625" style="226" bestFit="1" customWidth="1"/>
    <col min="8713" max="8715" width="8.85546875" style="226" bestFit="1" customWidth="1"/>
    <col min="8716" max="8718" width="8.7109375" style="226" bestFit="1" customWidth="1"/>
    <col min="8719" max="8719" width="16.140625" style="226" bestFit="1" customWidth="1"/>
    <col min="8720" max="8960" width="9.140625" style="226"/>
    <col min="8961" max="8961" width="5.85546875" style="226" bestFit="1" customWidth="1"/>
    <col min="8962" max="8962" width="11" style="226" bestFit="1" customWidth="1"/>
    <col min="8963" max="8963" width="14.140625" style="226" bestFit="1" customWidth="1"/>
    <col min="8964" max="8964" width="15.7109375" style="226" bestFit="1" customWidth="1"/>
    <col min="8965" max="8965" width="10.85546875" style="226" bestFit="1" customWidth="1"/>
    <col min="8966" max="8966" width="7.7109375" style="226" bestFit="1" customWidth="1"/>
    <col min="8967" max="8967" width="13.28515625" style="226" bestFit="1" customWidth="1"/>
    <col min="8968" max="8968" width="17.28515625" style="226" bestFit="1" customWidth="1"/>
    <col min="8969" max="8971" width="8.85546875" style="226" bestFit="1" customWidth="1"/>
    <col min="8972" max="8974" width="8.7109375" style="226" bestFit="1" customWidth="1"/>
    <col min="8975" max="8975" width="16.140625" style="226" bestFit="1" customWidth="1"/>
    <col min="8976" max="9216" width="9.140625" style="226"/>
    <col min="9217" max="9217" width="5.85546875" style="226" bestFit="1" customWidth="1"/>
    <col min="9218" max="9218" width="11" style="226" bestFit="1" customWidth="1"/>
    <col min="9219" max="9219" width="14.140625" style="226" bestFit="1" customWidth="1"/>
    <col min="9220" max="9220" width="15.7109375" style="226" bestFit="1" customWidth="1"/>
    <col min="9221" max="9221" width="10.85546875" style="226" bestFit="1" customWidth="1"/>
    <col min="9222" max="9222" width="7.7109375" style="226" bestFit="1" customWidth="1"/>
    <col min="9223" max="9223" width="13.28515625" style="226" bestFit="1" customWidth="1"/>
    <col min="9224" max="9224" width="17.28515625" style="226" bestFit="1" customWidth="1"/>
    <col min="9225" max="9227" width="8.85546875" style="226" bestFit="1" customWidth="1"/>
    <col min="9228" max="9230" width="8.7109375" style="226" bestFit="1" customWidth="1"/>
    <col min="9231" max="9231" width="16.140625" style="226" bestFit="1" customWidth="1"/>
    <col min="9232" max="9472" width="9.140625" style="226"/>
    <col min="9473" max="9473" width="5.85546875" style="226" bestFit="1" customWidth="1"/>
    <col min="9474" max="9474" width="11" style="226" bestFit="1" customWidth="1"/>
    <col min="9475" max="9475" width="14.140625" style="226" bestFit="1" customWidth="1"/>
    <col min="9476" max="9476" width="15.7109375" style="226" bestFit="1" customWidth="1"/>
    <col min="9477" max="9477" width="10.85546875" style="226" bestFit="1" customWidth="1"/>
    <col min="9478" max="9478" width="7.7109375" style="226" bestFit="1" customWidth="1"/>
    <col min="9479" max="9479" width="13.28515625" style="226" bestFit="1" customWidth="1"/>
    <col min="9480" max="9480" width="17.28515625" style="226" bestFit="1" customWidth="1"/>
    <col min="9481" max="9483" width="8.85546875" style="226" bestFit="1" customWidth="1"/>
    <col min="9484" max="9486" width="8.7109375" style="226" bestFit="1" customWidth="1"/>
    <col min="9487" max="9487" width="16.140625" style="226" bestFit="1" customWidth="1"/>
    <col min="9488" max="9728" width="9.140625" style="226"/>
    <col min="9729" max="9729" width="5.85546875" style="226" bestFit="1" customWidth="1"/>
    <col min="9730" max="9730" width="11" style="226" bestFit="1" customWidth="1"/>
    <col min="9731" max="9731" width="14.140625" style="226" bestFit="1" customWidth="1"/>
    <col min="9732" max="9732" width="15.7109375" style="226" bestFit="1" customWidth="1"/>
    <col min="9733" max="9733" width="10.85546875" style="226" bestFit="1" customWidth="1"/>
    <col min="9734" max="9734" width="7.7109375" style="226" bestFit="1" customWidth="1"/>
    <col min="9735" max="9735" width="13.28515625" style="226" bestFit="1" customWidth="1"/>
    <col min="9736" max="9736" width="17.28515625" style="226" bestFit="1" customWidth="1"/>
    <col min="9737" max="9739" width="8.85546875" style="226" bestFit="1" customWidth="1"/>
    <col min="9740" max="9742" width="8.7109375" style="226" bestFit="1" customWidth="1"/>
    <col min="9743" max="9743" width="16.140625" style="226" bestFit="1" customWidth="1"/>
    <col min="9744" max="9984" width="9.140625" style="226"/>
    <col min="9985" max="9985" width="5.85546875" style="226" bestFit="1" customWidth="1"/>
    <col min="9986" max="9986" width="11" style="226" bestFit="1" customWidth="1"/>
    <col min="9987" max="9987" width="14.140625" style="226" bestFit="1" customWidth="1"/>
    <col min="9988" max="9988" width="15.7109375" style="226" bestFit="1" customWidth="1"/>
    <col min="9989" max="9989" width="10.85546875" style="226" bestFit="1" customWidth="1"/>
    <col min="9990" max="9990" width="7.7109375" style="226" bestFit="1" customWidth="1"/>
    <col min="9991" max="9991" width="13.28515625" style="226" bestFit="1" customWidth="1"/>
    <col min="9992" max="9992" width="17.28515625" style="226" bestFit="1" customWidth="1"/>
    <col min="9993" max="9995" width="8.85546875" style="226" bestFit="1" customWidth="1"/>
    <col min="9996" max="9998" width="8.7109375" style="226" bestFit="1" customWidth="1"/>
    <col min="9999" max="9999" width="16.140625" style="226" bestFit="1" customWidth="1"/>
    <col min="10000" max="10240" width="9.140625" style="226"/>
    <col min="10241" max="10241" width="5.85546875" style="226" bestFit="1" customWidth="1"/>
    <col min="10242" max="10242" width="11" style="226" bestFit="1" customWidth="1"/>
    <col min="10243" max="10243" width="14.140625" style="226" bestFit="1" customWidth="1"/>
    <col min="10244" max="10244" width="15.7109375" style="226" bestFit="1" customWidth="1"/>
    <col min="10245" max="10245" width="10.85546875" style="226" bestFit="1" customWidth="1"/>
    <col min="10246" max="10246" width="7.7109375" style="226" bestFit="1" customWidth="1"/>
    <col min="10247" max="10247" width="13.28515625" style="226" bestFit="1" customWidth="1"/>
    <col min="10248" max="10248" width="17.28515625" style="226" bestFit="1" customWidth="1"/>
    <col min="10249" max="10251" width="8.85546875" style="226" bestFit="1" customWidth="1"/>
    <col min="10252" max="10254" width="8.7109375" style="226" bestFit="1" customWidth="1"/>
    <col min="10255" max="10255" width="16.140625" style="226" bestFit="1" customWidth="1"/>
    <col min="10256" max="10496" width="9.140625" style="226"/>
    <col min="10497" max="10497" width="5.85546875" style="226" bestFit="1" customWidth="1"/>
    <col min="10498" max="10498" width="11" style="226" bestFit="1" customWidth="1"/>
    <col min="10499" max="10499" width="14.140625" style="226" bestFit="1" customWidth="1"/>
    <col min="10500" max="10500" width="15.7109375" style="226" bestFit="1" customWidth="1"/>
    <col min="10501" max="10501" width="10.85546875" style="226" bestFit="1" customWidth="1"/>
    <col min="10502" max="10502" width="7.7109375" style="226" bestFit="1" customWidth="1"/>
    <col min="10503" max="10503" width="13.28515625" style="226" bestFit="1" customWidth="1"/>
    <col min="10504" max="10504" width="17.28515625" style="226" bestFit="1" customWidth="1"/>
    <col min="10505" max="10507" width="8.85546875" style="226" bestFit="1" customWidth="1"/>
    <col min="10508" max="10510" width="8.7109375" style="226" bestFit="1" customWidth="1"/>
    <col min="10511" max="10511" width="16.140625" style="226" bestFit="1" customWidth="1"/>
    <col min="10512" max="10752" width="9.140625" style="226"/>
    <col min="10753" max="10753" width="5.85546875" style="226" bestFit="1" customWidth="1"/>
    <col min="10754" max="10754" width="11" style="226" bestFit="1" customWidth="1"/>
    <col min="10755" max="10755" width="14.140625" style="226" bestFit="1" customWidth="1"/>
    <col min="10756" max="10756" width="15.7109375" style="226" bestFit="1" customWidth="1"/>
    <col min="10757" max="10757" width="10.85546875" style="226" bestFit="1" customWidth="1"/>
    <col min="10758" max="10758" width="7.7109375" style="226" bestFit="1" customWidth="1"/>
    <col min="10759" max="10759" width="13.28515625" style="226" bestFit="1" customWidth="1"/>
    <col min="10760" max="10760" width="17.28515625" style="226" bestFit="1" customWidth="1"/>
    <col min="10761" max="10763" width="8.85546875" style="226" bestFit="1" customWidth="1"/>
    <col min="10764" max="10766" width="8.7109375" style="226" bestFit="1" customWidth="1"/>
    <col min="10767" max="10767" width="16.140625" style="226" bestFit="1" customWidth="1"/>
    <col min="10768" max="11008" width="9.140625" style="226"/>
    <col min="11009" max="11009" width="5.85546875" style="226" bestFit="1" customWidth="1"/>
    <col min="11010" max="11010" width="11" style="226" bestFit="1" customWidth="1"/>
    <col min="11011" max="11011" width="14.140625" style="226" bestFit="1" customWidth="1"/>
    <col min="11012" max="11012" width="15.7109375" style="226" bestFit="1" customWidth="1"/>
    <col min="11013" max="11013" width="10.85546875" style="226" bestFit="1" customWidth="1"/>
    <col min="11014" max="11014" width="7.7109375" style="226" bestFit="1" customWidth="1"/>
    <col min="11015" max="11015" width="13.28515625" style="226" bestFit="1" customWidth="1"/>
    <col min="11016" max="11016" width="17.28515625" style="226" bestFit="1" customWidth="1"/>
    <col min="11017" max="11019" width="8.85546875" style="226" bestFit="1" customWidth="1"/>
    <col min="11020" max="11022" width="8.7109375" style="226" bestFit="1" customWidth="1"/>
    <col min="11023" max="11023" width="16.140625" style="226" bestFit="1" customWidth="1"/>
    <col min="11024" max="11264" width="9.140625" style="226"/>
    <col min="11265" max="11265" width="5.85546875" style="226" bestFit="1" customWidth="1"/>
    <col min="11266" max="11266" width="11" style="226" bestFit="1" customWidth="1"/>
    <col min="11267" max="11267" width="14.140625" style="226" bestFit="1" customWidth="1"/>
    <col min="11268" max="11268" width="15.7109375" style="226" bestFit="1" customWidth="1"/>
    <col min="11269" max="11269" width="10.85546875" style="226" bestFit="1" customWidth="1"/>
    <col min="11270" max="11270" width="7.7109375" style="226" bestFit="1" customWidth="1"/>
    <col min="11271" max="11271" width="13.28515625" style="226" bestFit="1" customWidth="1"/>
    <col min="11272" max="11272" width="17.28515625" style="226" bestFit="1" customWidth="1"/>
    <col min="11273" max="11275" width="8.85546875" style="226" bestFit="1" customWidth="1"/>
    <col min="11276" max="11278" width="8.7109375" style="226" bestFit="1" customWidth="1"/>
    <col min="11279" max="11279" width="16.140625" style="226" bestFit="1" customWidth="1"/>
    <col min="11280" max="11520" width="9.140625" style="226"/>
    <col min="11521" max="11521" width="5.85546875" style="226" bestFit="1" customWidth="1"/>
    <col min="11522" max="11522" width="11" style="226" bestFit="1" customWidth="1"/>
    <col min="11523" max="11523" width="14.140625" style="226" bestFit="1" customWidth="1"/>
    <col min="11524" max="11524" width="15.7109375" style="226" bestFit="1" customWidth="1"/>
    <col min="11525" max="11525" width="10.85546875" style="226" bestFit="1" customWidth="1"/>
    <col min="11526" max="11526" width="7.7109375" style="226" bestFit="1" customWidth="1"/>
    <col min="11527" max="11527" width="13.28515625" style="226" bestFit="1" customWidth="1"/>
    <col min="11528" max="11528" width="17.28515625" style="226" bestFit="1" customWidth="1"/>
    <col min="11529" max="11531" width="8.85546875" style="226" bestFit="1" customWidth="1"/>
    <col min="11532" max="11534" width="8.7109375" style="226" bestFit="1" customWidth="1"/>
    <col min="11535" max="11535" width="16.140625" style="226" bestFit="1" customWidth="1"/>
    <col min="11536" max="11776" width="9.140625" style="226"/>
    <col min="11777" max="11777" width="5.85546875" style="226" bestFit="1" customWidth="1"/>
    <col min="11778" max="11778" width="11" style="226" bestFit="1" customWidth="1"/>
    <col min="11779" max="11779" width="14.140625" style="226" bestFit="1" customWidth="1"/>
    <col min="11780" max="11780" width="15.7109375" style="226" bestFit="1" customWidth="1"/>
    <col min="11781" max="11781" width="10.85546875" style="226" bestFit="1" customWidth="1"/>
    <col min="11782" max="11782" width="7.7109375" style="226" bestFit="1" customWidth="1"/>
    <col min="11783" max="11783" width="13.28515625" style="226" bestFit="1" customWidth="1"/>
    <col min="11784" max="11784" width="17.28515625" style="226" bestFit="1" customWidth="1"/>
    <col min="11785" max="11787" width="8.85546875" style="226" bestFit="1" customWidth="1"/>
    <col min="11788" max="11790" width="8.7109375" style="226" bestFit="1" customWidth="1"/>
    <col min="11791" max="11791" width="16.140625" style="226" bestFit="1" customWidth="1"/>
    <col min="11792" max="12032" width="9.140625" style="226"/>
    <col min="12033" max="12033" width="5.85546875" style="226" bestFit="1" customWidth="1"/>
    <col min="12034" max="12034" width="11" style="226" bestFit="1" customWidth="1"/>
    <col min="12035" max="12035" width="14.140625" style="226" bestFit="1" customWidth="1"/>
    <col min="12036" max="12036" width="15.7109375" style="226" bestFit="1" customWidth="1"/>
    <col min="12037" max="12037" width="10.85546875" style="226" bestFit="1" customWidth="1"/>
    <col min="12038" max="12038" width="7.7109375" style="226" bestFit="1" customWidth="1"/>
    <col min="12039" max="12039" width="13.28515625" style="226" bestFit="1" customWidth="1"/>
    <col min="12040" max="12040" width="17.28515625" style="226" bestFit="1" customWidth="1"/>
    <col min="12041" max="12043" width="8.85546875" style="226" bestFit="1" customWidth="1"/>
    <col min="12044" max="12046" width="8.7109375" style="226" bestFit="1" customWidth="1"/>
    <col min="12047" max="12047" width="16.140625" style="226" bestFit="1" customWidth="1"/>
    <col min="12048" max="12288" width="9.140625" style="226"/>
    <col min="12289" max="12289" width="5.85546875" style="226" bestFit="1" customWidth="1"/>
    <col min="12290" max="12290" width="11" style="226" bestFit="1" customWidth="1"/>
    <col min="12291" max="12291" width="14.140625" style="226" bestFit="1" customWidth="1"/>
    <col min="12292" max="12292" width="15.7109375" style="226" bestFit="1" customWidth="1"/>
    <col min="12293" max="12293" width="10.85546875" style="226" bestFit="1" customWidth="1"/>
    <col min="12294" max="12294" width="7.7109375" style="226" bestFit="1" customWidth="1"/>
    <col min="12295" max="12295" width="13.28515625" style="226" bestFit="1" customWidth="1"/>
    <col min="12296" max="12296" width="17.28515625" style="226" bestFit="1" customWidth="1"/>
    <col min="12297" max="12299" width="8.85546875" style="226" bestFit="1" customWidth="1"/>
    <col min="12300" max="12302" width="8.7109375" style="226" bestFit="1" customWidth="1"/>
    <col min="12303" max="12303" width="16.140625" style="226" bestFit="1" customWidth="1"/>
    <col min="12304" max="12544" width="9.140625" style="226"/>
    <col min="12545" max="12545" width="5.85546875" style="226" bestFit="1" customWidth="1"/>
    <col min="12546" max="12546" width="11" style="226" bestFit="1" customWidth="1"/>
    <col min="12547" max="12547" width="14.140625" style="226" bestFit="1" customWidth="1"/>
    <col min="12548" max="12548" width="15.7109375" style="226" bestFit="1" customWidth="1"/>
    <col min="12549" max="12549" width="10.85546875" style="226" bestFit="1" customWidth="1"/>
    <col min="12550" max="12550" width="7.7109375" style="226" bestFit="1" customWidth="1"/>
    <col min="12551" max="12551" width="13.28515625" style="226" bestFit="1" customWidth="1"/>
    <col min="12552" max="12552" width="17.28515625" style="226" bestFit="1" customWidth="1"/>
    <col min="12553" max="12555" width="8.85546875" style="226" bestFit="1" customWidth="1"/>
    <col min="12556" max="12558" width="8.7109375" style="226" bestFit="1" customWidth="1"/>
    <col min="12559" max="12559" width="16.140625" style="226" bestFit="1" customWidth="1"/>
    <col min="12560" max="12800" width="9.140625" style="226"/>
    <col min="12801" max="12801" width="5.85546875" style="226" bestFit="1" customWidth="1"/>
    <col min="12802" max="12802" width="11" style="226" bestFit="1" customWidth="1"/>
    <col min="12803" max="12803" width="14.140625" style="226" bestFit="1" customWidth="1"/>
    <col min="12804" max="12804" width="15.7109375" style="226" bestFit="1" customWidth="1"/>
    <col min="12805" max="12805" width="10.85546875" style="226" bestFit="1" customWidth="1"/>
    <col min="12806" max="12806" width="7.7109375" style="226" bestFit="1" customWidth="1"/>
    <col min="12807" max="12807" width="13.28515625" style="226" bestFit="1" customWidth="1"/>
    <col min="12808" max="12808" width="17.28515625" style="226" bestFit="1" customWidth="1"/>
    <col min="12809" max="12811" width="8.85546875" style="226" bestFit="1" customWidth="1"/>
    <col min="12812" max="12814" width="8.7109375" style="226" bestFit="1" customWidth="1"/>
    <col min="12815" max="12815" width="16.140625" style="226" bestFit="1" customWidth="1"/>
    <col min="12816" max="13056" width="9.140625" style="226"/>
    <col min="13057" max="13057" width="5.85546875" style="226" bestFit="1" customWidth="1"/>
    <col min="13058" max="13058" width="11" style="226" bestFit="1" customWidth="1"/>
    <col min="13059" max="13059" width="14.140625" style="226" bestFit="1" customWidth="1"/>
    <col min="13060" max="13060" width="15.7109375" style="226" bestFit="1" customWidth="1"/>
    <col min="13061" max="13061" width="10.85546875" style="226" bestFit="1" customWidth="1"/>
    <col min="13062" max="13062" width="7.7109375" style="226" bestFit="1" customWidth="1"/>
    <col min="13063" max="13063" width="13.28515625" style="226" bestFit="1" customWidth="1"/>
    <col min="13064" max="13064" width="17.28515625" style="226" bestFit="1" customWidth="1"/>
    <col min="13065" max="13067" width="8.85546875" style="226" bestFit="1" customWidth="1"/>
    <col min="13068" max="13070" width="8.7109375" style="226" bestFit="1" customWidth="1"/>
    <col min="13071" max="13071" width="16.140625" style="226" bestFit="1" customWidth="1"/>
    <col min="13072" max="13312" width="9.140625" style="226"/>
    <col min="13313" max="13313" width="5.85546875" style="226" bestFit="1" customWidth="1"/>
    <col min="13314" max="13314" width="11" style="226" bestFit="1" customWidth="1"/>
    <col min="13315" max="13315" width="14.140625" style="226" bestFit="1" customWidth="1"/>
    <col min="13316" max="13316" width="15.7109375" style="226" bestFit="1" customWidth="1"/>
    <col min="13317" max="13317" width="10.85546875" style="226" bestFit="1" customWidth="1"/>
    <col min="13318" max="13318" width="7.7109375" style="226" bestFit="1" customWidth="1"/>
    <col min="13319" max="13319" width="13.28515625" style="226" bestFit="1" customWidth="1"/>
    <col min="13320" max="13320" width="17.28515625" style="226" bestFit="1" customWidth="1"/>
    <col min="13321" max="13323" width="8.85546875" style="226" bestFit="1" customWidth="1"/>
    <col min="13324" max="13326" width="8.7109375" style="226" bestFit="1" customWidth="1"/>
    <col min="13327" max="13327" width="16.140625" style="226" bestFit="1" customWidth="1"/>
    <col min="13328" max="13568" width="9.140625" style="226"/>
    <col min="13569" max="13569" width="5.85546875" style="226" bestFit="1" customWidth="1"/>
    <col min="13570" max="13570" width="11" style="226" bestFit="1" customWidth="1"/>
    <col min="13571" max="13571" width="14.140625" style="226" bestFit="1" customWidth="1"/>
    <col min="13572" max="13572" width="15.7109375" style="226" bestFit="1" customWidth="1"/>
    <col min="13573" max="13573" width="10.85546875" style="226" bestFit="1" customWidth="1"/>
    <col min="13574" max="13574" width="7.7109375" style="226" bestFit="1" customWidth="1"/>
    <col min="13575" max="13575" width="13.28515625" style="226" bestFit="1" customWidth="1"/>
    <col min="13576" max="13576" width="17.28515625" style="226" bestFit="1" customWidth="1"/>
    <col min="13577" max="13579" width="8.85546875" style="226" bestFit="1" customWidth="1"/>
    <col min="13580" max="13582" width="8.7109375" style="226" bestFit="1" customWidth="1"/>
    <col min="13583" max="13583" width="16.140625" style="226" bestFit="1" customWidth="1"/>
    <col min="13584" max="13824" width="9.140625" style="226"/>
    <col min="13825" max="13825" width="5.85546875" style="226" bestFit="1" customWidth="1"/>
    <col min="13826" max="13826" width="11" style="226" bestFit="1" customWidth="1"/>
    <col min="13827" max="13827" width="14.140625" style="226" bestFit="1" customWidth="1"/>
    <col min="13828" max="13828" width="15.7109375" style="226" bestFit="1" customWidth="1"/>
    <col min="13829" max="13829" width="10.85546875" style="226" bestFit="1" customWidth="1"/>
    <col min="13830" max="13830" width="7.7109375" style="226" bestFit="1" customWidth="1"/>
    <col min="13831" max="13831" width="13.28515625" style="226" bestFit="1" customWidth="1"/>
    <col min="13832" max="13832" width="17.28515625" style="226" bestFit="1" customWidth="1"/>
    <col min="13833" max="13835" width="8.85546875" style="226" bestFit="1" customWidth="1"/>
    <col min="13836" max="13838" width="8.7109375" style="226" bestFit="1" customWidth="1"/>
    <col min="13839" max="13839" width="16.140625" style="226" bestFit="1" customWidth="1"/>
    <col min="13840" max="14080" width="9.140625" style="226"/>
    <col min="14081" max="14081" width="5.85546875" style="226" bestFit="1" customWidth="1"/>
    <col min="14082" max="14082" width="11" style="226" bestFit="1" customWidth="1"/>
    <col min="14083" max="14083" width="14.140625" style="226" bestFit="1" customWidth="1"/>
    <col min="14084" max="14084" width="15.7109375" style="226" bestFit="1" customWidth="1"/>
    <col min="14085" max="14085" width="10.85546875" style="226" bestFit="1" customWidth="1"/>
    <col min="14086" max="14086" width="7.7109375" style="226" bestFit="1" customWidth="1"/>
    <col min="14087" max="14087" width="13.28515625" style="226" bestFit="1" customWidth="1"/>
    <col min="14088" max="14088" width="17.28515625" style="226" bestFit="1" customWidth="1"/>
    <col min="14089" max="14091" width="8.85546875" style="226" bestFit="1" customWidth="1"/>
    <col min="14092" max="14094" width="8.7109375" style="226" bestFit="1" customWidth="1"/>
    <col min="14095" max="14095" width="16.140625" style="226" bestFit="1" customWidth="1"/>
    <col min="14096" max="14336" width="9.140625" style="226"/>
    <col min="14337" max="14337" width="5.85546875" style="226" bestFit="1" customWidth="1"/>
    <col min="14338" max="14338" width="11" style="226" bestFit="1" customWidth="1"/>
    <col min="14339" max="14339" width="14.140625" style="226" bestFit="1" customWidth="1"/>
    <col min="14340" max="14340" width="15.7109375" style="226" bestFit="1" customWidth="1"/>
    <col min="14341" max="14341" width="10.85546875" style="226" bestFit="1" customWidth="1"/>
    <col min="14342" max="14342" width="7.7109375" style="226" bestFit="1" customWidth="1"/>
    <col min="14343" max="14343" width="13.28515625" style="226" bestFit="1" customWidth="1"/>
    <col min="14344" max="14344" width="17.28515625" style="226" bestFit="1" customWidth="1"/>
    <col min="14345" max="14347" width="8.85546875" style="226" bestFit="1" customWidth="1"/>
    <col min="14348" max="14350" width="8.7109375" style="226" bestFit="1" customWidth="1"/>
    <col min="14351" max="14351" width="16.140625" style="226" bestFit="1" customWidth="1"/>
    <col min="14352" max="14592" width="9.140625" style="226"/>
    <col min="14593" max="14593" width="5.85546875" style="226" bestFit="1" customWidth="1"/>
    <col min="14594" max="14594" width="11" style="226" bestFit="1" customWidth="1"/>
    <col min="14595" max="14595" width="14.140625" style="226" bestFit="1" customWidth="1"/>
    <col min="14596" max="14596" width="15.7109375" style="226" bestFit="1" customWidth="1"/>
    <col min="14597" max="14597" width="10.85546875" style="226" bestFit="1" customWidth="1"/>
    <col min="14598" max="14598" width="7.7109375" style="226" bestFit="1" customWidth="1"/>
    <col min="14599" max="14599" width="13.28515625" style="226" bestFit="1" customWidth="1"/>
    <col min="14600" max="14600" width="17.28515625" style="226" bestFit="1" customWidth="1"/>
    <col min="14601" max="14603" width="8.85546875" style="226" bestFit="1" customWidth="1"/>
    <col min="14604" max="14606" width="8.7109375" style="226" bestFit="1" customWidth="1"/>
    <col min="14607" max="14607" width="16.140625" style="226" bestFit="1" customWidth="1"/>
    <col min="14608" max="14848" width="9.140625" style="226"/>
    <col min="14849" max="14849" width="5.85546875" style="226" bestFit="1" customWidth="1"/>
    <col min="14850" max="14850" width="11" style="226" bestFit="1" customWidth="1"/>
    <col min="14851" max="14851" width="14.140625" style="226" bestFit="1" customWidth="1"/>
    <col min="14852" max="14852" width="15.7109375" style="226" bestFit="1" customWidth="1"/>
    <col min="14853" max="14853" width="10.85546875" style="226" bestFit="1" customWidth="1"/>
    <col min="14854" max="14854" width="7.7109375" style="226" bestFit="1" customWidth="1"/>
    <col min="14855" max="14855" width="13.28515625" style="226" bestFit="1" customWidth="1"/>
    <col min="14856" max="14856" width="17.28515625" style="226" bestFit="1" customWidth="1"/>
    <col min="14857" max="14859" width="8.85546875" style="226" bestFit="1" customWidth="1"/>
    <col min="14860" max="14862" width="8.7109375" style="226" bestFit="1" customWidth="1"/>
    <col min="14863" max="14863" width="16.140625" style="226" bestFit="1" customWidth="1"/>
    <col min="14864" max="15104" width="9.140625" style="226"/>
    <col min="15105" max="15105" width="5.85546875" style="226" bestFit="1" customWidth="1"/>
    <col min="15106" max="15106" width="11" style="226" bestFit="1" customWidth="1"/>
    <col min="15107" max="15107" width="14.140625" style="226" bestFit="1" customWidth="1"/>
    <col min="15108" max="15108" width="15.7109375" style="226" bestFit="1" customWidth="1"/>
    <col min="15109" max="15109" width="10.85546875" style="226" bestFit="1" customWidth="1"/>
    <col min="15110" max="15110" width="7.7109375" style="226" bestFit="1" customWidth="1"/>
    <col min="15111" max="15111" width="13.28515625" style="226" bestFit="1" customWidth="1"/>
    <col min="15112" max="15112" width="17.28515625" style="226" bestFit="1" customWidth="1"/>
    <col min="15113" max="15115" width="8.85546875" style="226" bestFit="1" customWidth="1"/>
    <col min="15116" max="15118" width="8.7109375" style="226" bestFit="1" customWidth="1"/>
    <col min="15119" max="15119" width="16.140625" style="226" bestFit="1" customWidth="1"/>
    <col min="15120" max="15360" width="9.140625" style="226"/>
    <col min="15361" max="15361" width="5.85546875" style="226" bestFit="1" customWidth="1"/>
    <col min="15362" max="15362" width="11" style="226" bestFit="1" customWidth="1"/>
    <col min="15363" max="15363" width="14.140625" style="226" bestFit="1" customWidth="1"/>
    <col min="15364" max="15364" width="15.7109375" style="226" bestFit="1" customWidth="1"/>
    <col min="15365" max="15365" width="10.85546875" style="226" bestFit="1" customWidth="1"/>
    <col min="15366" max="15366" width="7.7109375" style="226" bestFit="1" customWidth="1"/>
    <col min="15367" max="15367" width="13.28515625" style="226" bestFit="1" customWidth="1"/>
    <col min="15368" max="15368" width="17.28515625" style="226" bestFit="1" customWidth="1"/>
    <col min="15369" max="15371" width="8.85546875" style="226" bestFit="1" customWidth="1"/>
    <col min="15372" max="15374" width="8.7109375" style="226" bestFit="1" customWidth="1"/>
    <col min="15375" max="15375" width="16.140625" style="226" bestFit="1" customWidth="1"/>
    <col min="15376" max="15616" width="9.140625" style="226"/>
    <col min="15617" max="15617" width="5.85546875" style="226" bestFit="1" customWidth="1"/>
    <col min="15618" max="15618" width="11" style="226" bestFit="1" customWidth="1"/>
    <col min="15619" max="15619" width="14.140625" style="226" bestFit="1" customWidth="1"/>
    <col min="15620" max="15620" width="15.7109375" style="226" bestFit="1" customWidth="1"/>
    <col min="15621" max="15621" width="10.85546875" style="226" bestFit="1" customWidth="1"/>
    <col min="15622" max="15622" width="7.7109375" style="226" bestFit="1" customWidth="1"/>
    <col min="15623" max="15623" width="13.28515625" style="226" bestFit="1" customWidth="1"/>
    <col min="15624" max="15624" width="17.28515625" style="226" bestFit="1" customWidth="1"/>
    <col min="15625" max="15627" width="8.85546875" style="226" bestFit="1" customWidth="1"/>
    <col min="15628" max="15630" width="8.7109375" style="226" bestFit="1" customWidth="1"/>
    <col min="15631" max="15631" width="16.140625" style="226" bestFit="1" customWidth="1"/>
    <col min="15632" max="15872" width="9.140625" style="226"/>
    <col min="15873" max="15873" width="5.85546875" style="226" bestFit="1" customWidth="1"/>
    <col min="15874" max="15874" width="11" style="226" bestFit="1" customWidth="1"/>
    <col min="15875" max="15875" width="14.140625" style="226" bestFit="1" customWidth="1"/>
    <col min="15876" max="15876" width="15.7109375" style="226" bestFit="1" customWidth="1"/>
    <col min="15877" max="15877" width="10.85546875" style="226" bestFit="1" customWidth="1"/>
    <col min="15878" max="15878" width="7.7109375" style="226" bestFit="1" customWidth="1"/>
    <col min="15879" max="15879" width="13.28515625" style="226" bestFit="1" customWidth="1"/>
    <col min="15880" max="15880" width="17.28515625" style="226" bestFit="1" customWidth="1"/>
    <col min="15881" max="15883" width="8.85546875" style="226" bestFit="1" customWidth="1"/>
    <col min="15884" max="15886" width="8.7109375" style="226" bestFit="1" customWidth="1"/>
    <col min="15887" max="15887" width="16.140625" style="226" bestFit="1" customWidth="1"/>
    <col min="15888" max="16128" width="9.140625" style="226"/>
    <col min="16129" max="16129" width="5.85546875" style="226" bestFit="1" customWidth="1"/>
    <col min="16130" max="16130" width="11" style="226" bestFit="1" customWidth="1"/>
    <col min="16131" max="16131" width="14.140625" style="226" bestFit="1" customWidth="1"/>
    <col min="16132" max="16132" width="15.7109375" style="226" bestFit="1" customWidth="1"/>
    <col min="16133" max="16133" width="10.85546875" style="226" bestFit="1" customWidth="1"/>
    <col min="16134" max="16134" width="7.7109375" style="226" bestFit="1" customWidth="1"/>
    <col min="16135" max="16135" width="13.28515625" style="226" bestFit="1" customWidth="1"/>
    <col min="16136" max="16136" width="17.28515625" style="226" bestFit="1" customWidth="1"/>
    <col min="16137" max="16139" width="8.85546875" style="226" bestFit="1" customWidth="1"/>
    <col min="16140" max="16142" width="8.7109375" style="226" bestFit="1" customWidth="1"/>
    <col min="16143" max="16143" width="16.140625" style="226" bestFit="1" customWidth="1"/>
    <col min="16144" max="16384" width="9.140625" style="226"/>
  </cols>
  <sheetData>
    <row r="1" spans="1:22" ht="13.5" thickBot="1" x14ac:dyDescent="0.25">
      <c r="B1" s="227"/>
      <c r="C1" s="227"/>
      <c r="D1" s="227"/>
      <c r="E1" s="227"/>
      <c r="J1" s="322" t="s">
        <v>219</v>
      </c>
      <c r="K1" s="322"/>
      <c r="L1" s="322"/>
      <c r="M1" s="322"/>
      <c r="N1" s="322"/>
      <c r="O1" s="228"/>
      <c r="P1" s="228"/>
      <c r="Q1" s="228"/>
      <c r="R1" s="228"/>
      <c r="S1" s="228"/>
      <c r="T1" s="228"/>
      <c r="U1" s="228"/>
      <c r="V1" s="228"/>
    </row>
    <row r="2" spans="1:22" ht="15.75" thickBot="1" x14ac:dyDescent="0.3">
      <c r="A2" s="229" t="s">
        <v>220</v>
      </c>
      <c r="B2" s="230" t="s">
        <v>221</v>
      </c>
      <c r="C2" s="231" t="s">
        <v>222</v>
      </c>
      <c r="D2" s="230" t="s">
        <v>223</v>
      </c>
      <c r="E2" s="230" t="s">
        <v>224</v>
      </c>
      <c r="F2" s="230" t="s">
        <v>225</v>
      </c>
      <c r="G2" s="232" t="s">
        <v>226</v>
      </c>
      <c r="H2" s="232" t="s">
        <v>227</v>
      </c>
      <c r="I2" s="233" t="s">
        <v>228</v>
      </c>
      <c r="J2" s="234" t="s">
        <v>229</v>
      </c>
      <c r="K2" s="235" t="s">
        <v>230</v>
      </c>
      <c r="L2" s="235" t="s">
        <v>231</v>
      </c>
      <c r="M2" s="235" t="s">
        <v>232</v>
      </c>
      <c r="N2" s="235" t="s">
        <v>233</v>
      </c>
      <c r="O2" s="228"/>
      <c r="P2" s="228"/>
      <c r="Q2" s="228"/>
      <c r="R2" s="228"/>
      <c r="S2" s="228"/>
      <c r="T2" s="228"/>
      <c r="U2" s="228"/>
      <c r="V2" s="228"/>
    </row>
    <row r="3" spans="1:22" x14ac:dyDescent="0.2">
      <c r="A3" s="236"/>
      <c r="B3" s="237">
        <f ca="1">[2]DATOS!B4</f>
        <v>43907</v>
      </c>
      <c r="C3" s="238"/>
      <c r="D3" s="239"/>
      <c r="E3" s="228">
        <v>1</v>
      </c>
      <c r="F3" s="228"/>
      <c r="G3" s="228">
        <f t="shared" ref="G3:G43" si="0">EXP(-DI*timeCDS)</f>
        <v>1</v>
      </c>
      <c r="H3" s="228"/>
      <c r="I3" s="240"/>
      <c r="J3" s="241"/>
      <c r="K3" s="242"/>
      <c r="L3" s="242"/>
      <c r="M3" s="242" t="str">
        <f ca="1">IF(DAY(date)=31,coupon1*100/2,"")</f>
        <v/>
      </c>
      <c r="N3" s="242" t="str">
        <f ca="1">IF(AND(DAY(date)=15,OR(MONTH(date)=1,MONTH(date)=7)),coupon2*100/2,"")</f>
        <v/>
      </c>
      <c r="O3" s="228"/>
      <c r="P3" s="228"/>
      <c r="Q3" s="228"/>
      <c r="R3" s="228"/>
      <c r="S3" s="228"/>
      <c r="T3" s="228"/>
      <c r="U3" s="228"/>
      <c r="V3" s="228"/>
    </row>
    <row r="4" spans="1:22" x14ac:dyDescent="0.2">
      <c r="A4" s="236"/>
      <c r="B4" s="237">
        <f ca="1">EDATE(B3,3)</f>
        <v>43999</v>
      </c>
      <c r="C4" s="238">
        <f ca="1">(B4-TODAY())/365</f>
        <v>0.25205479452054796</v>
      </c>
      <c r="D4" s="243">
        <f>+Intensity1</f>
        <v>4.8368937604160715E-2</v>
      </c>
      <c r="E4" s="238">
        <v>0.99978247928680608</v>
      </c>
      <c r="F4" s="238">
        <f ca="1">C4-C3</f>
        <v>0.25205479452054796</v>
      </c>
      <c r="G4" s="228">
        <f t="shared" ca="1" si="0"/>
        <v>0.98788239410213596</v>
      </c>
      <c r="H4" s="228">
        <f ca="1">+G3-G4</f>
        <v>1.2117605897864037E-2</v>
      </c>
      <c r="I4" s="244">
        <f t="shared" ref="I4:I43" ca="1" si="1">(E4-E3)/(B4-B3)</f>
        <v>-2.3643555781947763E-6</v>
      </c>
      <c r="J4" s="244">
        <v>1</v>
      </c>
      <c r="K4" s="245">
        <v>1</v>
      </c>
      <c r="L4" s="245">
        <v>1</v>
      </c>
      <c r="M4" s="245">
        <v>1</v>
      </c>
      <c r="N4" s="245">
        <v>1</v>
      </c>
      <c r="O4" s="228"/>
      <c r="P4" s="228"/>
      <c r="Q4" s="228"/>
      <c r="R4" s="228"/>
      <c r="S4" s="228"/>
      <c r="T4" s="228"/>
      <c r="U4" s="228"/>
      <c r="V4" s="228"/>
    </row>
    <row r="5" spans="1:22" x14ac:dyDescent="0.2">
      <c r="A5" s="236"/>
      <c r="B5" s="237">
        <f ca="1">EDATE(B4,3)</f>
        <v>44091</v>
      </c>
      <c r="C5" s="238">
        <f t="shared" ref="C5:C43" ca="1" si="2">(B5-TODAY())/365</f>
        <v>0.50410958904109593</v>
      </c>
      <c r="D5" s="243">
        <f>+Intensity1</f>
        <v>4.8368937604160715E-2</v>
      </c>
      <c r="E5" s="238">
        <v>0.99955469476293324</v>
      </c>
      <c r="F5" s="238">
        <f t="shared" ref="F5:F16" ca="1" si="3">C5-C4</f>
        <v>0.25205479452054796</v>
      </c>
      <c r="G5" s="228">
        <f t="shared" ca="1" si="0"/>
        <v>0.97591162457696778</v>
      </c>
      <c r="H5" s="228">
        <f t="shared" ref="H5:H43" ca="1" si="4">+G4-G5</f>
        <v>1.1970769525168179E-2</v>
      </c>
      <c r="I5" s="244">
        <f t="shared" ca="1" si="1"/>
        <v>-2.4759187377482896E-6</v>
      </c>
      <c r="J5" s="244">
        <v>1</v>
      </c>
      <c r="K5" s="245">
        <v>1</v>
      </c>
      <c r="L5" s="245">
        <v>1</v>
      </c>
      <c r="M5" s="245">
        <v>1</v>
      </c>
      <c r="N5" s="245">
        <v>1</v>
      </c>
      <c r="O5" s="228"/>
      <c r="P5" s="228"/>
      <c r="Q5" s="228"/>
      <c r="R5" s="228"/>
      <c r="S5" s="228"/>
      <c r="T5" s="228"/>
      <c r="U5" s="228"/>
      <c r="V5" s="228"/>
    </row>
    <row r="6" spans="1:22" x14ac:dyDescent="0.2">
      <c r="A6" s="236"/>
      <c r="B6" s="237">
        <f t="shared" ref="B6:B43" ca="1" si="5">EDATE(B5,3)</f>
        <v>44182</v>
      </c>
      <c r="C6" s="238">
        <f t="shared" ca="1" si="2"/>
        <v>0.75342465753424659</v>
      </c>
      <c r="D6" s="243">
        <f>+Intensity1</f>
        <v>4.8368937604160715E-2</v>
      </c>
      <c r="E6" s="238">
        <v>0.99922709745708715</v>
      </c>
      <c r="F6" s="238">
        <f t="shared" ca="1" si="3"/>
        <v>0.24931506849315066</v>
      </c>
      <c r="G6" s="228">
        <f t="shared" ca="1" si="0"/>
        <v>0.96421367897189458</v>
      </c>
      <c r="H6" s="228">
        <f t="shared" ca="1" si="4"/>
        <v>1.1697945605073201E-2</v>
      </c>
      <c r="I6" s="244">
        <f t="shared" ca="1" si="1"/>
        <v>-3.5999703939130053E-6</v>
      </c>
      <c r="J6" s="244">
        <v>1</v>
      </c>
      <c r="K6" s="245">
        <v>1</v>
      </c>
      <c r="L6" s="245">
        <v>1</v>
      </c>
      <c r="M6" s="245">
        <v>1</v>
      </c>
      <c r="N6" s="245">
        <v>1</v>
      </c>
      <c r="O6" s="228"/>
      <c r="P6" s="228"/>
      <c r="Q6" s="228"/>
      <c r="R6" s="228"/>
      <c r="S6" s="228"/>
      <c r="T6" s="228"/>
      <c r="U6" s="228"/>
      <c r="V6" s="228"/>
    </row>
    <row r="7" spans="1:22" x14ac:dyDescent="0.2">
      <c r="A7" s="236">
        <v>1</v>
      </c>
      <c r="B7" s="237">
        <f t="shared" ca="1" si="5"/>
        <v>44272</v>
      </c>
      <c r="C7" s="238">
        <f t="shared" ca="1" si="2"/>
        <v>1</v>
      </c>
      <c r="D7" s="246">
        <v>4.8368937604160715E-2</v>
      </c>
      <c r="E7" s="238">
        <v>0.99860278674260405</v>
      </c>
      <c r="F7" s="238">
        <f t="shared" ca="1" si="3"/>
        <v>0.24657534246575341</v>
      </c>
      <c r="G7" s="228">
        <f t="shared" ca="1" si="0"/>
        <v>0.95278220504156075</v>
      </c>
      <c r="H7" s="228">
        <f t="shared" ca="1" si="4"/>
        <v>1.1431473930333835E-2</v>
      </c>
      <c r="I7" s="244">
        <f t="shared" ca="1" si="1"/>
        <v>-6.936785716478896E-6</v>
      </c>
      <c r="J7" s="244">
        <v>1</v>
      </c>
      <c r="K7" s="245">
        <v>1</v>
      </c>
      <c r="L7" s="245">
        <v>1</v>
      </c>
      <c r="M7" s="245">
        <v>1</v>
      </c>
      <c r="N7" s="245">
        <v>1</v>
      </c>
      <c r="O7" s="228"/>
      <c r="P7" s="228"/>
      <c r="Q7" s="228"/>
      <c r="R7" s="228"/>
      <c r="S7" s="228"/>
      <c r="T7" s="228"/>
      <c r="U7" s="228"/>
      <c r="V7" s="228"/>
    </row>
    <row r="8" spans="1:22" x14ac:dyDescent="0.2">
      <c r="A8" s="236"/>
      <c r="B8" s="237">
        <f t="shared" ca="1" si="5"/>
        <v>44364</v>
      </c>
      <c r="C8" s="238">
        <f t="shared" ca="1" si="2"/>
        <v>1.252054794520548</v>
      </c>
      <c r="D8" s="243">
        <f>+Intensity2</f>
        <v>5.2388735555378353E-2</v>
      </c>
      <c r="E8" s="238">
        <v>0.99746790193210233</v>
      </c>
      <c r="F8" s="238">
        <f t="shared" ca="1" si="3"/>
        <v>0.25205479452054802</v>
      </c>
      <c r="G8" s="228">
        <f t="shared" ca="1" si="0"/>
        <v>0.93651141559908335</v>
      </c>
      <c r="H8" s="228">
        <f t="shared" ca="1" si="4"/>
        <v>1.6270789442477396E-2</v>
      </c>
      <c r="I8" s="244">
        <f t="shared" ca="1" si="1"/>
        <v>-1.233570446197526E-5</v>
      </c>
      <c r="J8" s="244"/>
      <c r="K8" s="245">
        <v>1</v>
      </c>
      <c r="L8" s="245">
        <v>1</v>
      </c>
      <c r="M8" s="245">
        <v>1</v>
      </c>
      <c r="N8" s="245">
        <v>1</v>
      </c>
      <c r="O8" s="228"/>
      <c r="P8" s="228"/>
      <c r="Q8" s="228"/>
      <c r="R8" s="228"/>
      <c r="S8" s="228"/>
      <c r="T8" s="228"/>
      <c r="U8" s="228"/>
      <c r="V8" s="228"/>
    </row>
    <row r="9" spans="1:22" x14ac:dyDescent="0.2">
      <c r="A9" s="236"/>
      <c r="B9" s="237">
        <f t="shared" ca="1" si="5"/>
        <v>44456</v>
      </c>
      <c r="C9" s="238">
        <f t="shared" ca="1" si="2"/>
        <v>1.5041095890410958</v>
      </c>
      <c r="D9" s="243">
        <f>+Intensity2</f>
        <v>5.2388735555378353E-2</v>
      </c>
      <c r="E9" s="238">
        <v>0.99601978102179833</v>
      </c>
      <c r="F9" s="238">
        <f t="shared" ca="1" si="3"/>
        <v>0.2520547945205478</v>
      </c>
      <c r="G9" s="228">
        <f t="shared" ca="1" si="0"/>
        <v>0.92422623012881999</v>
      </c>
      <c r="H9" s="228">
        <f t="shared" ca="1" si="4"/>
        <v>1.228518547026336E-2</v>
      </c>
      <c r="I9" s="244">
        <f t="shared" ca="1" si="1"/>
        <v>-1.5740444677217349E-5</v>
      </c>
      <c r="J9" s="244"/>
      <c r="K9" s="245">
        <v>1</v>
      </c>
      <c r="L9" s="245">
        <v>1</v>
      </c>
      <c r="M9" s="245">
        <v>1</v>
      </c>
      <c r="N9" s="245">
        <v>1</v>
      </c>
      <c r="O9" s="228"/>
      <c r="P9" s="228"/>
      <c r="Q9" s="228"/>
      <c r="R9" s="228"/>
      <c r="S9" s="228"/>
      <c r="T9" s="228"/>
      <c r="U9" s="228"/>
      <c r="V9" s="228"/>
    </row>
    <row r="10" spans="1:22" x14ac:dyDescent="0.2">
      <c r="A10" s="247"/>
      <c r="B10" s="237">
        <f t="shared" ca="1" si="5"/>
        <v>44547</v>
      </c>
      <c r="C10" s="238">
        <f t="shared" ca="1" si="2"/>
        <v>1.7534246575342465</v>
      </c>
      <c r="D10" s="243">
        <f>+Intensity2</f>
        <v>5.2388735555378353E-2</v>
      </c>
      <c r="E10" s="238">
        <v>0.99672254480586875</v>
      </c>
      <c r="F10" s="238">
        <f t="shared" ca="1" si="3"/>
        <v>0.24931506849315066</v>
      </c>
      <c r="G10" s="228">
        <f t="shared" ca="1" si="0"/>
        <v>0.91223312623655273</v>
      </c>
      <c r="H10" s="228">
        <f t="shared" ca="1" si="4"/>
        <v>1.1993103892267265E-2</v>
      </c>
      <c r="I10" s="244">
        <f t="shared" ca="1" si="1"/>
        <v>7.7226789458287353E-6</v>
      </c>
      <c r="J10" s="244"/>
      <c r="K10" s="245">
        <v>1</v>
      </c>
      <c r="L10" s="245">
        <v>1</v>
      </c>
      <c r="M10" s="245">
        <v>1</v>
      </c>
      <c r="N10" s="245">
        <v>1</v>
      </c>
      <c r="O10" s="228"/>
      <c r="P10" s="228"/>
      <c r="Q10" s="228"/>
      <c r="R10" s="228"/>
      <c r="S10" s="228"/>
      <c r="T10" s="228"/>
      <c r="U10" s="228"/>
      <c r="V10" s="228"/>
    </row>
    <row r="11" spans="1:22" x14ac:dyDescent="0.2">
      <c r="A11" s="236">
        <v>2</v>
      </c>
      <c r="B11" s="237">
        <f t="shared" ca="1" si="5"/>
        <v>44637</v>
      </c>
      <c r="C11" s="238">
        <f t="shared" ca="1" si="2"/>
        <v>2</v>
      </c>
      <c r="D11" s="246">
        <v>5.2388735555378353E-2</v>
      </c>
      <c r="E11" s="238">
        <v>0.99782232722841468</v>
      </c>
      <c r="F11" s="238">
        <f t="shared" ca="1" si="3"/>
        <v>0.24657534246575352</v>
      </c>
      <c r="G11" s="228">
        <f t="shared" ca="1" si="0"/>
        <v>0.90052489309552186</v>
      </c>
      <c r="H11" s="228">
        <f t="shared" ca="1" si="4"/>
        <v>1.1708233141030866E-2</v>
      </c>
      <c r="I11" s="244">
        <f t="shared" ca="1" si="1"/>
        <v>1.2219804694954848E-5</v>
      </c>
      <c r="J11" s="244"/>
      <c r="K11" s="245">
        <v>1</v>
      </c>
      <c r="L11" s="245">
        <v>1</v>
      </c>
      <c r="M11" s="245">
        <v>1</v>
      </c>
      <c r="N11" s="245">
        <v>1</v>
      </c>
      <c r="O11" s="228"/>
      <c r="P11" s="228"/>
      <c r="Q11" s="228"/>
      <c r="R11" s="228"/>
      <c r="S11" s="228"/>
      <c r="T11" s="228"/>
      <c r="U11" s="228"/>
      <c r="V11" s="228"/>
    </row>
    <row r="12" spans="1:22" x14ac:dyDescent="0.2">
      <c r="A12" s="236"/>
      <c r="B12" s="237">
        <f t="shared" ca="1" si="5"/>
        <v>44729</v>
      </c>
      <c r="C12" s="238">
        <f t="shared" ca="1" si="2"/>
        <v>2.2520547945205478</v>
      </c>
      <c r="D12" s="243">
        <f>+Intensity3</f>
        <v>5.3738837786476042E-2</v>
      </c>
      <c r="E12" s="238">
        <v>0.99705017430763676</v>
      </c>
      <c r="F12" s="238">
        <f t="shared" ca="1" si="3"/>
        <v>0.2520547945205478</v>
      </c>
      <c r="G12" s="228">
        <f t="shared" ca="1" si="0"/>
        <v>0.88601375179074293</v>
      </c>
      <c r="H12" s="228">
        <f t="shared" ca="1" si="4"/>
        <v>1.4511141304778929E-2</v>
      </c>
      <c r="I12" s="244">
        <f t="shared" ca="1" si="1"/>
        <v>-8.3929665301948297E-6</v>
      </c>
      <c r="J12" s="244"/>
      <c r="K12" s="245"/>
      <c r="L12" s="245">
        <v>1</v>
      </c>
      <c r="M12" s="245">
        <v>1</v>
      </c>
      <c r="N12" s="245">
        <v>1</v>
      </c>
      <c r="O12" s="228"/>
      <c r="P12" s="228"/>
      <c r="Q12" s="228"/>
      <c r="R12" s="228"/>
      <c r="S12" s="228"/>
      <c r="T12" s="228"/>
      <c r="U12" s="228"/>
      <c r="V12" s="228"/>
    </row>
    <row r="13" spans="1:22" x14ac:dyDescent="0.2">
      <c r="A13" s="236"/>
      <c r="B13" s="237">
        <f t="shared" ca="1" si="5"/>
        <v>44821</v>
      </c>
      <c r="C13" s="238">
        <f t="shared" ca="1" si="2"/>
        <v>2.504109589041096</v>
      </c>
      <c r="D13" s="243">
        <f>+Intensity3</f>
        <v>5.3738837786476042E-2</v>
      </c>
      <c r="E13" s="238">
        <v>0.99615786836277787</v>
      </c>
      <c r="F13" s="238">
        <f t="shared" ca="1" si="3"/>
        <v>0.25205479452054824</v>
      </c>
      <c r="G13" s="228">
        <f t="shared" ca="1" si="0"/>
        <v>0.87409349181710128</v>
      </c>
      <c r="H13" s="228">
        <f t="shared" ca="1" si="4"/>
        <v>1.1920259973641656E-2</v>
      </c>
      <c r="I13" s="244">
        <f t="shared" ca="1" si="1"/>
        <v>-9.6989776615097334E-6</v>
      </c>
      <c r="J13" s="244"/>
      <c r="K13" s="245"/>
      <c r="L13" s="245">
        <v>1</v>
      </c>
      <c r="M13" s="245">
        <v>1</v>
      </c>
      <c r="N13" s="245">
        <v>1</v>
      </c>
      <c r="O13" s="228"/>
      <c r="P13" s="228"/>
      <c r="Q13" s="228"/>
      <c r="R13" s="228"/>
      <c r="S13" s="228"/>
      <c r="T13" s="228"/>
      <c r="U13" s="228"/>
      <c r="V13" s="228"/>
    </row>
    <row r="14" spans="1:22" x14ac:dyDescent="0.2">
      <c r="A14" s="236"/>
      <c r="B14" s="237">
        <f t="shared" ca="1" si="5"/>
        <v>44912</v>
      </c>
      <c r="C14" s="238">
        <f t="shared" ca="1" si="2"/>
        <v>2.7534246575342465</v>
      </c>
      <c r="D14" s="243">
        <f>+Intensity3</f>
        <v>5.3738837786476042E-2</v>
      </c>
      <c r="E14" s="238">
        <v>0.99514205690650315</v>
      </c>
      <c r="F14" s="238">
        <f t="shared" ca="1" si="3"/>
        <v>0.24931506849315044</v>
      </c>
      <c r="G14" s="228">
        <f t="shared" ca="1" si="0"/>
        <v>0.86246057520507069</v>
      </c>
      <c r="H14" s="228">
        <f t="shared" ca="1" si="4"/>
        <v>1.1632916612030586E-2</v>
      </c>
      <c r="I14" s="244">
        <f t="shared" ca="1" si="1"/>
        <v>-1.116276325576613E-5</v>
      </c>
      <c r="J14" s="244"/>
      <c r="K14" s="245"/>
      <c r="L14" s="245">
        <v>1</v>
      </c>
      <c r="M14" s="245">
        <v>1</v>
      </c>
      <c r="N14" s="245">
        <v>1</v>
      </c>
      <c r="O14" s="228"/>
      <c r="P14" s="228"/>
      <c r="Q14" s="228"/>
      <c r="R14" s="228"/>
      <c r="S14" s="228"/>
      <c r="T14" s="228"/>
      <c r="U14" s="228"/>
      <c r="V14" s="228"/>
    </row>
    <row r="15" spans="1:22" x14ac:dyDescent="0.2">
      <c r="A15" s="236">
        <v>3</v>
      </c>
      <c r="B15" s="237">
        <f t="shared" ca="1" si="5"/>
        <v>45002</v>
      </c>
      <c r="C15" s="238">
        <f t="shared" ca="1" si="2"/>
        <v>3</v>
      </c>
      <c r="D15" s="246">
        <v>5.3738837786476042E-2</v>
      </c>
      <c r="E15" s="238">
        <v>0.99401231343154284</v>
      </c>
      <c r="F15" s="238">
        <f t="shared" ca="1" si="3"/>
        <v>0.24657534246575352</v>
      </c>
      <c r="G15" s="228">
        <f t="shared" ca="1" si="0"/>
        <v>0.85110777495299084</v>
      </c>
      <c r="H15" s="228">
        <f t="shared" ca="1" si="4"/>
        <v>1.1352800252079853E-2</v>
      </c>
      <c r="I15" s="244">
        <f t="shared" ca="1" si="1"/>
        <v>-1.2552705277336774E-5</v>
      </c>
      <c r="J15" s="244"/>
      <c r="K15" s="245"/>
      <c r="L15" s="245">
        <v>1</v>
      </c>
      <c r="M15" s="245">
        <v>1</v>
      </c>
      <c r="N15" s="245">
        <v>1</v>
      </c>
      <c r="O15" s="228"/>
      <c r="P15" s="228"/>
      <c r="Q15" s="228"/>
      <c r="R15" s="228"/>
      <c r="S15" s="228"/>
      <c r="T15" s="228"/>
      <c r="U15" s="228"/>
      <c r="V15" s="228"/>
    </row>
    <row r="16" spans="1:22" x14ac:dyDescent="0.2">
      <c r="A16" s="236"/>
      <c r="B16" s="237">
        <f t="shared" ca="1" si="5"/>
        <v>45094</v>
      </c>
      <c r="C16" s="238">
        <f t="shared" ca="1" si="2"/>
        <v>3.2520547945205478</v>
      </c>
      <c r="D16" s="243">
        <f t="shared" ref="D16:D22" si="6">+Intensity4</f>
        <v>6.2859234407886655E-2</v>
      </c>
      <c r="E16" s="238">
        <v>0.9928792704794378</v>
      </c>
      <c r="F16" s="238">
        <f t="shared" ca="1" si="3"/>
        <v>0.2520547945205478</v>
      </c>
      <c r="G16" s="228">
        <f t="shared" ca="1" si="0"/>
        <v>0.81511858387699121</v>
      </c>
      <c r="H16" s="228">
        <f t="shared" ca="1" si="4"/>
        <v>3.5989191075999627E-2</v>
      </c>
      <c r="I16" s="244">
        <f t="shared" ca="1" si="1"/>
        <v>-1.2315684262011244E-5</v>
      </c>
      <c r="J16" s="244"/>
      <c r="K16" s="245"/>
      <c r="L16" s="245"/>
      <c r="M16" s="245">
        <v>1</v>
      </c>
      <c r="N16" s="245">
        <v>1</v>
      </c>
      <c r="O16" s="228"/>
      <c r="P16" s="228"/>
      <c r="Q16" s="228"/>
      <c r="R16" s="228"/>
      <c r="S16" s="228"/>
      <c r="T16" s="228"/>
      <c r="U16" s="228"/>
      <c r="V16" s="228"/>
    </row>
    <row r="17" spans="1:22" x14ac:dyDescent="0.2">
      <c r="A17" s="236"/>
      <c r="B17" s="237">
        <f t="shared" ca="1" si="5"/>
        <v>45186</v>
      </c>
      <c r="C17" s="238">
        <f t="shared" ca="1" si="2"/>
        <v>3.504109589041096</v>
      </c>
      <c r="D17" s="243">
        <f t="shared" si="6"/>
        <v>6.2859234407886655E-2</v>
      </c>
      <c r="E17" s="238">
        <v>0.99163602751350044</v>
      </c>
      <c r="F17" s="238">
        <f ca="1">C17-C16</f>
        <v>0.25205479452054824</v>
      </c>
      <c r="G17" s="228">
        <f t="shared" ca="1" si="0"/>
        <v>0.80230564032848184</v>
      </c>
      <c r="H17" s="228">
        <f t="shared" ca="1" si="4"/>
        <v>1.281294354850937E-2</v>
      </c>
      <c r="I17" s="244">
        <f t="shared" ca="1" si="1"/>
        <v>-1.3513510499319167E-5</v>
      </c>
      <c r="J17" s="244"/>
      <c r="K17" s="245"/>
      <c r="L17" s="245"/>
      <c r="M17" s="245">
        <v>1</v>
      </c>
      <c r="N17" s="245">
        <v>1</v>
      </c>
      <c r="O17" s="228"/>
      <c r="P17" s="228"/>
      <c r="Q17" s="228"/>
      <c r="R17" s="228"/>
      <c r="S17" s="228"/>
      <c r="T17" s="228"/>
      <c r="U17" s="228"/>
      <c r="V17" s="228"/>
    </row>
    <row r="18" spans="1:22" x14ac:dyDescent="0.2">
      <c r="A18" s="236"/>
      <c r="B18" s="237">
        <f t="shared" ca="1" si="5"/>
        <v>45277</v>
      </c>
      <c r="C18" s="238">
        <f t="shared" ca="1" si="2"/>
        <v>3.7534246575342465</v>
      </c>
      <c r="D18" s="243">
        <f t="shared" si="6"/>
        <v>6.2859234407886655E-2</v>
      </c>
      <c r="E18" s="238">
        <v>0.99027975734583762</v>
      </c>
      <c r="F18" s="238">
        <f t="shared" ref="F18:F43" ca="1" si="7">C18-C17</f>
        <v>0.24931506849315044</v>
      </c>
      <c r="G18" s="228">
        <f t="shared" ca="1" si="0"/>
        <v>0.7898301154501417</v>
      </c>
      <c r="H18" s="228">
        <f t="shared" ca="1" si="4"/>
        <v>1.2475524878340138E-2</v>
      </c>
      <c r="I18" s="244">
        <f t="shared" ca="1" si="1"/>
        <v>-1.4904067776514515E-5</v>
      </c>
      <c r="J18" s="244"/>
      <c r="K18" s="245"/>
      <c r="L18" s="245"/>
      <c r="M18" s="245">
        <v>1</v>
      </c>
      <c r="N18" s="245">
        <v>1</v>
      </c>
      <c r="O18" s="228"/>
      <c r="P18" s="228"/>
      <c r="Q18" s="228"/>
      <c r="R18" s="228"/>
      <c r="S18" s="228"/>
      <c r="T18" s="228"/>
      <c r="U18" s="228"/>
      <c r="V18" s="228"/>
    </row>
    <row r="19" spans="1:22" x14ac:dyDescent="0.2">
      <c r="A19" s="236"/>
      <c r="B19" s="237">
        <f t="shared" ca="1" si="5"/>
        <v>45368</v>
      </c>
      <c r="C19" s="238">
        <f t="shared" ca="1" si="2"/>
        <v>4.0027397260273974</v>
      </c>
      <c r="D19" s="243">
        <f t="shared" si="6"/>
        <v>6.2859234407886655E-2</v>
      </c>
      <c r="E19" s="238">
        <v>0.9888240224329774</v>
      </c>
      <c r="F19" s="238">
        <f t="shared" ca="1" si="7"/>
        <v>0.24931506849315088</v>
      </c>
      <c r="G19" s="228">
        <f t="shared" ca="1" si="0"/>
        <v>0.77754857988605619</v>
      </c>
      <c r="H19" s="228">
        <f t="shared" ca="1" si="4"/>
        <v>1.2281535564085511E-2</v>
      </c>
      <c r="I19" s="244">
        <f t="shared" ca="1" si="1"/>
        <v>-1.5997086954507891E-5</v>
      </c>
      <c r="J19" s="244"/>
      <c r="K19" s="245"/>
      <c r="L19" s="245"/>
      <c r="M19" s="245">
        <v>1</v>
      </c>
      <c r="N19" s="245">
        <v>1</v>
      </c>
      <c r="O19" s="228"/>
      <c r="P19" s="228"/>
      <c r="Q19" s="228"/>
      <c r="R19" s="228"/>
      <c r="S19" s="228"/>
      <c r="T19" s="228"/>
      <c r="U19" s="228"/>
      <c r="V19" s="228"/>
    </row>
    <row r="20" spans="1:22" x14ac:dyDescent="0.2">
      <c r="A20" s="236"/>
      <c r="B20" s="237">
        <f t="shared" ca="1" si="5"/>
        <v>45460</v>
      </c>
      <c r="C20" s="238">
        <f t="shared" ca="1" si="2"/>
        <v>4.2547945205479456</v>
      </c>
      <c r="D20" s="243">
        <f t="shared" si="6"/>
        <v>6.2859234407886655E-2</v>
      </c>
      <c r="E20" s="238">
        <v>0.98747047631103424</v>
      </c>
      <c r="F20" s="238">
        <f t="shared" ca="1" si="7"/>
        <v>0.25205479452054824</v>
      </c>
      <c r="G20" s="228">
        <f t="shared" ca="1" si="0"/>
        <v>0.76532620358723902</v>
      </c>
      <c r="H20" s="228">
        <f t="shared" ca="1" si="4"/>
        <v>1.2222376298817172E-2</v>
      </c>
      <c r="I20" s="244">
        <f t="shared" ca="1" si="1"/>
        <v>-1.4712457847208272E-5</v>
      </c>
      <c r="J20" s="244"/>
      <c r="K20" s="245"/>
      <c r="L20" s="245"/>
      <c r="M20" s="245">
        <v>1</v>
      </c>
      <c r="N20" s="245">
        <v>1</v>
      </c>
      <c r="O20" s="228"/>
      <c r="P20" s="228"/>
      <c r="Q20" s="228"/>
      <c r="R20" s="228"/>
      <c r="S20" s="228"/>
      <c r="T20" s="228"/>
      <c r="U20" s="228"/>
      <c r="V20" s="228"/>
    </row>
    <row r="21" spans="1:22" x14ac:dyDescent="0.2">
      <c r="A21" s="236"/>
      <c r="B21" s="237">
        <f t="shared" ca="1" si="5"/>
        <v>45552</v>
      </c>
      <c r="C21" s="238">
        <f t="shared" ca="1" si="2"/>
        <v>4.506849315068493</v>
      </c>
      <c r="D21" s="243">
        <f t="shared" si="6"/>
        <v>6.2859234407886655E-2</v>
      </c>
      <c r="E21" s="238">
        <v>0.98602506577262983</v>
      </c>
      <c r="F21" s="238">
        <f t="shared" ca="1" si="7"/>
        <v>0.25205479452054735</v>
      </c>
      <c r="G21" s="228">
        <f t="shared" ca="1" si="0"/>
        <v>0.75329595223888057</v>
      </c>
      <c r="H21" s="228">
        <f t="shared" ca="1" si="4"/>
        <v>1.2030251348358445E-2</v>
      </c>
      <c r="I21" s="244">
        <f t="shared" ca="1" si="1"/>
        <v>-1.571098411309144E-5</v>
      </c>
      <c r="J21" s="244"/>
      <c r="K21" s="245"/>
      <c r="L21" s="245"/>
      <c r="M21" s="245">
        <v>1</v>
      </c>
      <c r="N21" s="245">
        <v>1</v>
      </c>
      <c r="O21" s="228"/>
      <c r="P21" s="228"/>
      <c r="Q21" s="228"/>
      <c r="R21" s="228"/>
      <c r="S21" s="228"/>
      <c r="T21" s="228"/>
      <c r="U21" s="228"/>
      <c r="V21" s="228"/>
    </row>
    <row r="22" spans="1:22" x14ac:dyDescent="0.2">
      <c r="A22" s="236"/>
      <c r="B22" s="237">
        <f t="shared" ca="1" si="5"/>
        <v>45643</v>
      </c>
      <c r="C22" s="238">
        <f t="shared" ca="1" si="2"/>
        <v>4.7561643835616438</v>
      </c>
      <c r="D22" s="243">
        <f t="shared" si="6"/>
        <v>6.2859234407886655E-2</v>
      </c>
      <c r="E22" s="238">
        <v>0.98448561400111745</v>
      </c>
      <c r="F22" s="238">
        <f t="shared" ca="1" si="7"/>
        <v>0.24931506849315088</v>
      </c>
      <c r="G22" s="228">
        <f t="shared" ca="1" si="0"/>
        <v>0.74158250798456682</v>
      </c>
      <c r="H22" s="228">
        <f t="shared" ca="1" si="4"/>
        <v>1.1713444254313754E-2</v>
      </c>
      <c r="I22" s="244">
        <f t="shared" ca="1" si="1"/>
        <v>-1.6917052434201967E-5</v>
      </c>
      <c r="J22" s="244"/>
      <c r="K22" s="245"/>
      <c r="L22" s="245"/>
      <c r="M22" s="245">
        <v>1</v>
      </c>
      <c r="N22" s="245">
        <v>1</v>
      </c>
      <c r="O22" s="228"/>
      <c r="P22" s="228"/>
      <c r="Q22" s="228"/>
      <c r="R22" s="228"/>
      <c r="S22" s="228"/>
      <c r="T22" s="228"/>
      <c r="U22" s="228"/>
      <c r="V22" s="228"/>
    </row>
    <row r="23" spans="1:22" x14ac:dyDescent="0.2">
      <c r="A23" s="236">
        <v>4</v>
      </c>
      <c r="B23" s="237">
        <f t="shared" ca="1" si="5"/>
        <v>45733</v>
      </c>
      <c r="C23" s="238">
        <f t="shared" ca="1" si="2"/>
        <v>5.0027397260273974</v>
      </c>
      <c r="D23" s="248">
        <v>6.2859234407886655E-2</v>
      </c>
      <c r="E23" s="238">
        <v>0.9828679705840716</v>
      </c>
      <c r="F23" s="238">
        <f t="shared" ca="1" si="7"/>
        <v>0.24657534246575352</v>
      </c>
      <c r="G23" s="228">
        <f t="shared" ca="1" si="0"/>
        <v>0.73017694111585874</v>
      </c>
      <c r="H23" s="228">
        <f t="shared" ca="1" si="4"/>
        <v>1.1405566868708084E-2</v>
      </c>
      <c r="I23" s="244">
        <f t="shared" ca="1" si="1"/>
        <v>-1.7973815744953824E-5</v>
      </c>
      <c r="J23" s="244"/>
      <c r="K23" s="245"/>
      <c r="L23" s="245"/>
      <c r="M23" s="245">
        <v>1</v>
      </c>
      <c r="N23" s="245">
        <v>1</v>
      </c>
      <c r="O23" s="228"/>
      <c r="P23" s="228"/>
      <c r="Q23" s="228"/>
      <c r="R23" s="228"/>
      <c r="S23" s="228"/>
      <c r="T23" s="228"/>
      <c r="U23" s="228"/>
      <c r="V23" s="228"/>
    </row>
    <row r="24" spans="1:22" x14ac:dyDescent="0.2">
      <c r="A24" s="236"/>
      <c r="B24" s="237">
        <f t="shared" ca="1" si="5"/>
        <v>45825</v>
      </c>
      <c r="C24" s="238">
        <f t="shared" ca="1" si="2"/>
        <v>5.2547945205479456</v>
      </c>
      <c r="D24" s="239">
        <f t="shared" ref="D24:D42" si="8">+Intensity5</f>
        <v>6.5479414595657287E-2</v>
      </c>
      <c r="E24" s="238">
        <v>0.98137841227245304</v>
      </c>
      <c r="F24" s="238">
        <f t="shared" ca="1" si="7"/>
        <v>0.25205479452054824</v>
      </c>
      <c r="G24" s="228">
        <f t="shared" ca="1" si="0"/>
        <v>0.70887159997569771</v>
      </c>
      <c r="H24" s="228">
        <f t="shared" ca="1" si="4"/>
        <v>2.1305341140161027E-2</v>
      </c>
      <c r="I24" s="244">
        <f t="shared" ca="1" si="1"/>
        <v>-1.6190851213245285E-5</v>
      </c>
      <c r="J24" s="244"/>
      <c r="K24" s="245"/>
      <c r="L24" s="245"/>
      <c r="M24" s="245"/>
      <c r="N24" s="245">
        <v>1</v>
      </c>
      <c r="O24" s="228"/>
      <c r="P24" s="228"/>
      <c r="Q24" s="228"/>
      <c r="R24" s="228"/>
      <c r="S24" s="228"/>
      <c r="T24" s="228"/>
      <c r="U24" s="228"/>
      <c r="V24" s="228"/>
    </row>
    <row r="25" spans="1:22" x14ac:dyDescent="0.2">
      <c r="A25" s="236"/>
      <c r="B25" s="237">
        <f t="shared" ca="1" si="5"/>
        <v>45917</v>
      </c>
      <c r="C25" s="238">
        <f t="shared" ca="1" si="2"/>
        <v>5.506849315068493</v>
      </c>
      <c r="D25" s="239">
        <f t="shared" si="8"/>
        <v>6.5479414595657287E-2</v>
      </c>
      <c r="E25" s="238">
        <v>0.97983021560301109</v>
      </c>
      <c r="F25" s="238">
        <f t="shared" ca="1" si="7"/>
        <v>0.25205479452054735</v>
      </c>
      <c r="G25" s="228">
        <f t="shared" ca="1" si="0"/>
        <v>0.69726811692210799</v>
      </c>
      <c r="H25" s="228">
        <f t="shared" ca="1" si="4"/>
        <v>1.1603483053589714E-2</v>
      </c>
      <c r="I25" s="244">
        <f t="shared" ca="1" si="1"/>
        <v>-1.6828224667847262E-5</v>
      </c>
      <c r="J25" s="244"/>
      <c r="K25" s="245"/>
      <c r="L25" s="245"/>
      <c r="M25" s="245"/>
      <c r="N25" s="245">
        <v>1</v>
      </c>
      <c r="O25" s="228"/>
      <c r="P25" s="228"/>
      <c r="Q25" s="228"/>
      <c r="R25" s="228"/>
      <c r="S25" s="228"/>
      <c r="T25" s="228"/>
      <c r="U25" s="228"/>
      <c r="V25" s="228"/>
    </row>
    <row r="26" spans="1:22" x14ac:dyDescent="0.2">
      <c r="A26" s="236"/>
      <c r="B26" s="237">
        <f t="shared" ca="1" si="5"/>
        <v>46008</v>
      </c>
      <c r="C26" s="238">
        <f t="shared" ca="1" si="2"/>
        <v>5.7561643835616438</v>
      </c>
      <c r="D26" s="239">
        <f t="shared" si="8"/>
        <v>6.5479414595657287E-2</v>
      </c>
      <c r="E26" s="238">
        <v>0.9782056993461582</v>
      </c>
      <c r="F26" s="238">
        <f t="shared" ca="1" si="7"/>
        <v>0.24931506849315088</v>
      </c>
      <c r="G26" s="228">
        <f t="shared" ca="1" si="0"/>
        <v>0.68597762105855931</v>
      </c>
      <c r="H26" s="228">
        <f t="shared" ca="1" si="4"/>
        <v>1.1290495863548689E-2</v>
      </c>
      <c r="I26" s="244">
        <f t="shared" ca="1" si="1"/>
        <v>-1.7851826998383436E-5</v>
      </c>
      <c r="J26" s="244"/>
      <c r="K26" s="245"/>
      <c r="L26" s="245"/>
      <c r="M26" s="245"/>
      <c r="N26" s="245">
        <v>1</v>
      </c>
      <c r="O26" s="228"/>
      <c r="P26" s="228"/>
      <c r="Q26" s="228"/>
      <c r="R26" s="228"/>
      <c r="S26" s="228"/>
      <c r="T26" s="228"/>
      <c r="U26" s="228"/>
      <c r="V26" s="228"/>
    </row>
    <row r="27" spans="1:22" x14ac:dyDescent="0.2">
      <c r="A27" s="236"/>
      <c r="B27" s="237">
        <f t="shared" ca="1" si="5"/>
        <v>46098</v>
      </c>
      <c r="C27" s="238">
        <f t="shared" ca="1" si="2"/>
        <v>6.0027397260273974</v>
      </c>
      <c r="D27" s="239">
        <f t="shared" si="8"/>
        <v>6.5479414595657287E-2</v>
      </c>
      <c r="E27" s="238">
        <v>0.97652186805524865</v>
      </c>
      <c r="F27" s="238">
        <f t="shared" ca="1" si="7"/>
        <v>0.24657534246575352</v>
      </c>
      <c r="G27" s="228">
        <f t="shared" ca="1" si="0"/>
        <v>0.6749910258531413</v>
      </c>
      <c r="H27" s="228">
        <f t="shared" ca="1" si="4"/>
        <v>1.0986595205418004E-2</v>
      </c>
      <c r="I27" s="244">
        <f t="shared" ca="1" si="1"/>
        <v>-1.8709236565661591E-5</v>
      </c>
      <c r="J27" s="244"/>
      <c r="K27" s="245"/>
      <c r="L27" s="245"/>
      <c r="M27" s="245"/>
      <c r="N27" s="245">
        <v>1</v>
      </c>
      <c r="O27" s="228"/>
      <c r="P27" s="228"/>
      <c r="Q27" s="228"/>
      <c r="R27" s="228"/>
      <c r="S27" s="228"/>
      <c r="T27" s="228"/>
      <c r="U27" s="228"/>
      <c r="V27" s="228"/>
    </row>
    <row r="28" spans="1:22" x14ac:dyDescent="0.2">
      <c r="A28" s="236"/>
      <c r="B28" s="237">
        <f t="shared" ca="1" si="5"/>
        <v>46190</v>
      </c>
      <c r="C28" s="238">
        <f t="shared" ca="1" si="2"/>
        <v>6.2547945205479456</v>
      </c>
      <c r="D28" s="239">
        <f t="shared" si="8"/>
        <v>6.5479414595657287E-2</v>
      </c>
      <c r="E28" s="238">
        <v>0.97491129082094419</v>
      </c>
      <c r="F28" s="238">
        <f t="shared" ca="1" si="7"/>
        <v>0.25205479452054824</v>
      </c>
      <c r="G28" s="228">
        <f t="shared" ca="1" si="0"/>
        <v>0.66394213218878728</v>
      </c>
      <c r="H28" s="228">
        <f t="shared" ca="1" si="4"/>
        <v>1.104889366435402E-2</v>
      </c>
      <c r="I28" s="244">
        <f t="shared" ca="1" si="1"/>
        <v>-1.7506274285918117E-5</v>
      </c>
      <c r="J28" s="244"/>
      <c r="K28" s="245"/>
      <c r="L28" s="245"/>
      <c r="M28" s="245"/>
      <c r="N28" s="245">
        <v>1</v>
      </c>
      <c r="O28" s="228"/>
      <c r="P28" s="228"/>
      <c r="Q28" s="228"/>
      <c r="R28" s="228"/>
      <c r="S28" s="228"/>
      <c r="T28" s="228"/>
      <c r="U28" s="228"/>
      <c r="V28" s="228"/>
    </row>
    <row r="29" spans="1:22" x14ac:dyDescent="0.2">
      <c r="A29" s="236"/>
      <c r="B29" s="237">
        <f t="shared" ca="1" si="5"/>
        <v>46282</v>
      </c>
      <c r="C29" s="238">
        <f t="shared" ca="1" si="2"/>
        <v>6.506849315068493</v>
      </c>
      <c r="D29" s="239">
        <f t="shared" si="8"/>
        <v>6.5479414595657287E-2</v>
      </c>
      <c r="E29" s="238">
        <v>0.97323289229461585</v>
      </c>
      <c r="F29" s="238">
        <f t="shared" ca="1" si="7"/>
        <v>0.25205479452054735</v>
      </c>
      <c r="G29" s="228">
        <f t="shared" ca="1" si="0"/>
        <v>0.65307409730111377</v>
      </c>
      <c r="H29" s="228">
        <f t="shared" ca="1" si="4"/>
        <v>1.0868034887673517E-2</v>
      </c>
      <c r="I29" s="244">
        <f t="shared" ca="1" si="1"/>
        <v>-1.8243462242699343E-5</v>
      </c>
      <c r="J29" s="244"/>
      <c r="K29" s="245"/>
      <c r="L29" s="245"/>
      <c r="M29" s="245"/>
      <c r="N29" s="245">
        <v>1</v>
      </c>
      <c r="O29" s="228"/>
      <c r="P29" s="228"/>
      <c r="Q29" s="228"/>
      <c r="R29" s="228"/>
      <c r="S29" s="228"/>
      <c r="T29" s="228"/>
      <c r="U29" s="228"/>
      <c r="V29" s="228"/>
    </row>
    <row r="30" spans="1:22" x14ac:dyDescent="0.2">
      <c r="A30" s="236"/>
      <c r="B30" s="237">
        <f t="shared" ca="1" si="5"/>
        <v>46373</v>
      </c>
      <c r="C30" s="238">
        <f t="shared" ca="1" si="2"/>
        <v>6.7561643835616438</v>
      </c>
      <c r="D30" s="239">
        <f t="shared" si="8"/>
        <v>6.5479414595657287E-2</v>
      </c>
      <c r="E30" s="238">
        <v>0.97148529940994266</v>
      </c>
      <c r="F30" s="238">
        <f t="shared" ca="1" si="7"/>
        <v>0.24931506849315088</v>
      </c>
      <c r="G30" s="228">
        <f t="shared" ca="1" si="0"/>
        <v>0.64249921195182025</v>
      </c>
      <c r="H30" s="228">
        <f t="shared" ca="1" si="4"/>
        <v>1.0574885349293517E-2</v>
      </c>
      <c r="I30" s="244">
        <f t="shared" ca="1" si="1"/>
        <v>-1.9204317413991078E-5</v>
      </c>
      <c r="J30" s="244"/>
      <c r="K30" s="245"/>
      <c r="L30" s="245"/>
      <c r="M30" s="245"/>
      <c r="N30" s="245">
        <v>1</v>
      </c>
      <c r="O30" s="228"/>
      <c r="P30" s="228"/>
      <c r="Q30" s="228"/>
      <c r="R30" s="228"/>
      <c r="S30" s="228"/>
      <c r="T30" s="228"/>
      <c r="U30" s="228"/>
      <c r="V30" s="228"/>
    </row>
    <row r="31" spans="1:22" x14ac:dyDescent="0.2">
      <c r="A31" s="236"/>
      <c r="B31" s="237">
        <f t="shared" ca="1" si="5"/>
        <v>46463</v>
      </c>
      <c r="C31" s="238">
        <f t="shared" ca="1" si="2"/>
        <v>7.0027397260273974</v>
      </c>
      <c r="D31" s="239">
        <f t="shared" si="8"/>
        <v>6.5479414595657287E-2</v>
      </c>
      <c r="E31" s="238">
        <v>0.96968697218679278</v>
      </c>
      <c r="F31" s="238">
        <f t="shared" ca="1" si="7"/>
        <v>0.24657534246575352</v>
      </c>
      <c r="G31" s="228">
        <f t="shared" ca="1" si="0"/>
        <v>0.63220896552858885</v>
      </c>
      <c r="H31" s="228">
        <f t="shared" ca="1" si="4"/>
        <v>1.0290246423231397E-2</v>
      </c>
      <c r="I31" s="244">
        <f t="shared" ca="1" si="1"/>
        <v>-1.9981413590554177E-5</v>
      </c>
      <c r="J31" s="244"/>
      <c r="K31" s="245"/>
      <c r="L31" s="245"/>
      <c r="M31" s="245"/>
      <c r="N31" s="245">
        <v>1</v>
      </c>
      <c r="O31" s="228"/>
      <c r="P31" s="228"/>
      <c r="Q31" s="228"/>
      <c r="R31" s="228"/>
      <c r="S31" s="228"/>
      <c r="T31" s="228"/>
      <c r="U31" s="228"/>
      <c r="V31" s="228"/>
    </row>
    <row r="32" spans="1:22" x14ac:dyDescent="0.2">
      <c r="A32" s="236"/>
      <c r="B32" s="237">
        <f t="shared" ca="1" si="5"/>
        <v>46555</v>
      </c>
      <c r="C32" s="238">
        <f t="shared" ca="1" si="2"/>
        <v>7.2547945205479456</v>
      </c>
      <c r="D32" s="239">
        <f t="shared" si="8"/>
        <v>6.5479414595657287E-2</v>
      </c>
      <c r="E32" s="238">
        <v>0.96804267741982308</v>
      </c>
      <c r="F32" s="238">
        <f t="shared" ca="1" si="7"/>
        <v>0.25205479452054824</v>
      </c>
      <c r="G32" s="228">
        <f t="shared" ca="1" si="0"/>
        <v>0.62186036922695964</v>
      </c>
      <c r="H32" s="228">
        <f t="shared" ca="1" si="4"/>
        <v>1.0348596301629209E-2</v>
      </c>
      <c r="I32" s="244">
        <f t="shared" ca="1" si="1"/>
        <v>-1.7872769206192398E-5</v>
      </c>
      <c r="J32" s="244"/>
      <c r="K32" s="245"/>
      <c r="L32" s="245"/>
      <c r="M32" s="245"/>
      <c r="N32" s="245">
        <v>1</v>
      </c>
      <c r="O32" s="228"/>
      <c r="P32" s="228"/>
      <c r="Q32" s="228"/>
      <c r="R32" s="228"/>
      <c r="S32" s="228"/>
      <c r="T32" s="228"/>
      <c r="U32" s="228"/>
      <c r="V32" s="228"/>
    </row>
    <row r="33" spans="1:58" x14ac:dyDescent="0.2">
      <c r="A33" s="236"/>
      <c r="B33" s="237">
        <f t="shared" ca="1" si="5"/>
        <v>46647</v>
      </c>
      <c r="C33" s="238">
        <f t="shared" ca="1" si="2"/>
        <v>7.506849315068493</v>
      </c>
      <c r="D33" s="239">
        <f t="shared" si="8"/>
        <v>6.5479414595657287E-2</v>
      </c>
      <c r="E33" s="238">
        <v>0.96634199706135859</v>
      </c>
      <c r="F33" s="238">
        <f t="shared" ca="1" si="7"/>
        <v>0.25205479452054735</v>
      </c>
      <c r="G33" s="228">
        <f t="shared" ca="1" si="0"/>
        <v>0.61168116857020971</v>
      </c>
      <c r="H33" s="228">
        <f t="shared" ca="1" si="4"/>
        <v>1.0179200656749932E-2</v>
      </c>
      <c r="I33" s="244">
        <f t="shared" ca="1" si="1"/>
        <v>-1.8485656070266199E-5</v>
      </c>
      <c r="J33" s="244"/>
      <c r="K33" s="245"/>
      <c r="L33" s="245"/>
      <c r="M33" s="245"/>
      <c r="N33" s="245">
        <v>1</v>
      </c>
      <c r="O33" s="228"/>
      <c r="P33" s="228"/>
      <c r="Q33" s="228"/>
      <c r="R33" s="228"/>
      <c r="S33" s="228"/>
      <c r="T33" s="228"/>
      <c r="U33" s="228"/>
      <c r="V33" s="228"/>
    </row>
    <row r="34" spans="1:58" x14ac:dyDescent="0.2">
      <c r="A34" s="236"/>
      <c r="B34" s="237">
        <f t="shared" ca="1" si="5"/>
        <v>46738</v>
      </c>
      <c r="C34" s="238">
        <f t="shared" ca="1" si="2"/>
        <v>7.7561643835616438</v>
      </c>
      <c r="D34" s="239">
        <f t="shared" si="8"/>
        <v>6.5479414595657287E-2</v>
      </c>
      <c r="E34" s="238">
        <v>0.96458388856535671</v>
      </c>
      <c r="F34" s="238">
        <f t="shared" ca="1" si="7"/>
        <v>0.24931506849315088</v>
      </c>
      <c r="G34" s="228">
        <f t="shared" ca="1" si="0"/>
        <v>0.60177653714372481</v>
      </c>
      <c r="H34" s="228">
        <f t="shared" ca="1" si="4"/>
        <v>9.9046314264849E-3</v>
      </c>
      <c r="I34" s="244">
        <f t="shared" ca="1" si="1"/>
        <v>-1.9319873582438314E-5</v>
      </c>
      <c r="J34" s="244"/>
      <c r="K34" s="245"/>
      <c r="L34" s="245"/>
      <c r="M34" s="245"/>
      <c r="N34" s="245">
        <v>1</v>
      </c>
      <c r="O34" s="228"/>
      <c r="P34" s="228"/>
      <c r="Q34" s="228"/>
      <c r="R34" s="228"/>
      <c r="S34" s="228"/>
      <c r="T34" s="228"/>
      <c r="U34" s="228"/>
      <c r="V34" s="228"/>
    </row>
    <row r="35" spans="1:58" x14ac:dyDescent="0.2">
      <c r="A35" s="236"/>
      <c r="B35" s="237">
        <f t="shared" ca="1" si="5"/>
        <v>46829</v>
      </c>
      <c r="C35" s="238">
        <f t="shared" ca="1" si="2"/>
        <v>8.0054794520547947</v>
      </c>
      <c r="D35" s="239">
        <f t="shared" si="8"/>
        <v>6.5479414595657287E-2</v>
      </c>
      <c r="E35" s="238">
        <v>0.962787057422679</v>
      </c>
      <c r="F35" s="238">
        <f t="shared" ca="1" si="7"/>
        <v>0.24931506849315088</v>
      </c>
      <c r="G35" s="228">
        <f t="shared" ca="1" si="0"/>
        <v>0.59203228620422454</v>
      </c>
      <c r="H35" s="228">
        <f t="shared" ca="1" si="4"/>
        <v>9.7442509395002652E-3</v>
      </c>
      <c r="I35" s="244">
        <f t="shared" ca="1" si="1"/>
        <v>-1.9745397172282437E-5</v>
      </c>
      <c r="J35" s="244"/>
      <c r="K35" s="245"/>
      <c r="L35" s="245"/>
      <c r="M35" s="245"/>
      <c r="N35" s="245">
        <v>1</v>
      </c>
      <c r="O35" s="228"/>
      <c r="P35" s="228"/>
      <c r="Q35" s="228"/>
      <c r="R35" s="228"/>
      <c r="S35" s="228"/>
      <c r="T35" s="228"/>
      <c r="U35" s="228"/>
      <c r="V35" s="228"/>
    </row>
    <row r="36" spans="1:58" x14ac:dyDescent="0.2">
      <c r="A36" s="236"/>
      <c r="B36" s="237">
        <f t="shared" ca="1" si="5"/>
        <v>46921</v>
      </c>
      <c r="C36" s="238">
        <f t="shared" ca="1" si="2"/>
        <v>8.257534246575343</v>
      </c>
      <c r="D36" s="239">
        <f t="shared" si="8"/>
        <v>6.5479414595657287E-2</v>
      </c>
      <c r="E36" s="238">
        <v>0.96108655340501759</v>
      </c>
      <c r="F36" s="238">
        <f t="shared" ca="1" si="7"/>
        <v>0.25205479452054824</v>
      </c>
      <c r="G36" s="228">
        <f t="shared" ca="1" si="0"/>
        <v>0.58234133991665393</v>
      </c>
      <c r="H36" s="228">
        <f t="shared" ca="1" si="4"/>
        <v>9.690946287570612E-3</v>
      </c>
      <c r="I36" s="244">
        <f t="shared" ca="1" si="1"/>
        <v>-1.8483739322406734E-5</v>
      </c>
      <c r="J36" s="244"/>
      <c r="K36" s="245"/>
      <c r="L36" s="245"/>
      <c r="M36" s="245"/>
      <c r="N36" s="245">
        <v>1</v>
      </c>
      <c r="O36" s="228"/>
      <c r="P36" s="228"/>
      <c r="Q36" s="228"/>
      <c r="R36" s="228"/>
      <c r="S36" s="228"/>
      <c r="T36" s="228"/>
      <c r="U36" s="228"/>
      <c r="V36" s="228"/>
    </row>
    <row r="37" spans="1:58" x14ac:dyDescent="0.2">
      <c r="A37" s="236"/>
      <c r="B37" s="237">
        <f t="shared" ca="1" si="5"/>
        <v>47013</v>
      </c>
      <c r="C37" s="238">
        <f t="shared" ca="1" si="2"/>
        <v>8.5095890410958912</v>
      </c>
      <c r="D37" s="239">
        <f t="shared" si="8"/>
        <v>6.5479414595657287E-2</v>
      </c>
      <c r="E37" s="238">
        <v>0.95933529286298469</v>
      </c>
      <c r="F37" s="238">
        <f t="shared" ca="1" si="7"/>
        <v>0.25205479452054824</v>
      </c>
      <c r="G37" s="228">
        <f t="shared" ca="1" si="0"/>
        <v>0.57280902423443558</v>
      </c>
      <c r="H37" s="228">
        <f t="shared" ca="1" si="4"/>
        <v>9.5323156822183508E-3</v>
      </c>
      <c r="I37" s="244">
        <f t="shared" ca="1" si="1"/>
        <v>-1.90354406742706E-5</v>
      </c>
      <c r="J37" s="244"/>
      <c r="K37" s="245"/>
      <c r="L37" s="245"/>
      <c r="M37" s="245"/>
      <c r="N37" s="245">
        <v>1</v>
      </c>
      <c r="O37" s="228"/>
      <c r="P37" s="228"/>
      <c r="Q37" s="228"/>
      <c r="R37" s="228"/>
      <c r="S37" s="228"/>
      <c r="T37" s="228"/>
      <c r="U37" s="228"/>
      <c r="V37" s="228"/>
    </row>
    <row r="38" spans="1:58" x14ac:dyDescent="0.2">
      <c r="A38" s="236"/>
      <c r="B38" s="237">
        <f t="shared" ca="1" si="5"/>
        <v>47104</v>
      </c>
      <c r="C38" s="238">
        <f t="shared" ca="1" si="2"/>
        <v>8.7589041095890412</v>
      </c>
      <c r="D38" s="239">
        <f t="shared" si="8"/>
        <v>6.5479414595657287E-2</v>
      </c>
      <c r="E38" s="238">
        <v>0.95753241300896275</v>
      </c>
      <c r="F38" s="238">
        <f t="shared" ca="1" si="7"/>
        <v>0.24931506849314999</v>
      </c>
      <c r="G38" s="228">
        <f t="shared" ca="1" si="0"/>
        <v>0.56353382899494808</v>
      </c>
      <c r="H38" s="228">
        <f t="shared" ca="1" si="4"/>
        <v>9.2751952394874992E-3</v>
      </c>
      <c r="I38" s="244">
        <f t="shared" ca="1" si="1"/>
        <v>-1.9811866527713669E-5</v>
      </c>
      <c r="J38" s="244"/>
      <c r="K38" s="245"/>
      <c r="L38" s="245"/>
      <c r="M38" s="245"/>
      <c r="N38" s="245">
        <v>1</v>
      </c>
      <c r="O38" s="228"/>
      <c r="P38" s="228"/>
      <c r="Q38" s="228"/>
      <c r="R38" s="228"/>
      <c r="S38" s="228"/>
      <c r="T38" s="228"/>
      <c r="U38" s="228"/>
      <c r="V38" s="228"/>
    </row>
    <row r="39" spans="1:58" x14ac:dyDescent="0.2">
      <c r="A39" s="236"/>
      <c r="B39" s="237">
        <f t="shared" ca="1" si="5"/>
        <v>47194</v>
      </c>
      <c r="C39" s="238">
        <f t="shared" ca="1" si="2"/>
        <v>9.0054794520547947</v>
      </c>
      <c r="D39" s="239">
        <f t="shared" si="8"/>
        <v>6.5479414595657287E-2</v>
      </c>
      <c r="E39" s="238">
        <v>0.95569718066930587</v>
      </c>
      <c r="F39" s="238">
        <f t="shared" ca="1" si="7"/>
        <v>0.24657534246575352</v>
      </c>
      <c r="G39" s="228">
        <f t="shared" ca="1" si="0"/>
        <v>0.55450828956966391</v>
      </c>
      <c r="H39" s="228">
        <f t="shared" ca="1" si="4"/>
        <v>9.0255394252841681E-3</v>
      </c>
      <c r="I39" s="244">
        <f t="shared" ca="1" si="1"/>
        <v>-2.0391470440631978E-5</v>
      </c>
      <c r="J39" s="244"/>
      <c r="K39" s="245"/>
      <c r="L39" s="245"/>
      <c r="M39" s="245"/>
      <c r="N39" s="245">
        <v>1</v>
      </c>
      <c r="O39" s="228"/>
      <c r="P39" s="228"/>
      <c r="Q39" s="228"/>
      <c r="R39" s="228"/>
      <c r="S39" s="228"/>
      <c r="T39" s="228"/>
      <c r="U39" s="228"/>
      <c r="V39" s="228"/>
    </row>
    <row r="40" spans="1:58" x14ac:dyDescent="0.2">
      <c r="A40" s="236"/>
      <c r="B40" s="237">
        <f t="shared" ca="1" si="5"/>
        <v>47286</v>
      </c>
      <c r="C40" s="238">
        <f t="shared" ca="1" si="2"/>
        <v>9.257534246575343</v>
      </c>
      <c r="D40" s="239">
        <f t="shared" si="8"/>
        <v>6.5479414595657287E-2</v>
      </c>
      <c r="E40" s="238">
        <v>0.95392754486909581</v>
      </c>
      <c r="F40" s="238">
        <f t="shared" ca="1" si="7"/>
        <v>0.25205479452054824</v>
      </c>
      <c r="G40" s="228">
        <f t="shared" ca="1" si="0"/>
        <v>0.54543157166854161</v>
      </c>
      <c r="H40" s="228">
        <f t="shared" ca="1" si="4"/>
        <v>9.0767179011222998E-3</v>
      </c>
      <c r="I40" s="244">
        <f t="shared" ca="1" si="1"/>
        <v>-1.9235171741413657E-5</v>
      </c>
      <c r="J40" s="244"/>
      <c r="K40" s="245"/>
      <c r="L40" s="245"/>
      <c r="M40" s="245"/>
      <c r="N40" s="245">
        <v>1</v>
      </c>
      <c r="O40" s="228"/>
      <c r="P40" s="228"/>
      <c r="Q40" s="228"/>
      <c r="R40" s="228"/>
      <c r="S40" s="228"/>
      <c r="T40" s="228"/>
      <c r="U40" s="228"/>
      <c r="V40" s="228"/>
    </row>
    <row r="41" spans="1:58" x14ac:dyDescent="0.2">
      <c r="A41" s="236"/>
      <c r="B41" s="237">
        <f t="shared" ca="1" si="5"/>
        <v>47378</v>
      </c>
      <c r="C41" s="238">
        <f t="shared" ca="1" si="2"/>
        <v>9.5095890410958912</v>
      </c>
      <c r="D41" s="239">
        <f t="shared" si="8"/>
        <v>6.5479414595657287E-2</v>
      </c>
      <c r="E41" s="238">
        <v>0.95213050124998089</v>
      </c>
      <c r="F41" s="238">
        <f t="shared" ca="1" si="7"/>
        <v>0.25205479452054824</v>
      </c>
      <c r="G41" s="228">
        <f t="shared" ca="1" si="0"/>
        <v>0.53650343009965151</v>
      </c>
      <c r="H41" s="228">
        <f t="shared" ca="1" si="4"/>
        <v>8.9281415688901022E-3</v>
      </c>
      <c r="I41" s="244">
        <f t="shared" ca="1" si="1"/>
        <v>-1.9533082816466566E-5</v>
      </c>
      <c r="J41" s="244"/>
      <c r="K41" s="245"/>
      <c r="L41" s="245"/>
      <c r="M41" s="245"/>
      <c r="N41" s="245">
        <v>1</v>
      </c>
      <c r="O41" s="228"/>
      <c r="P41" s="228"/>
      <c r="Q41" s="228"/>
      <c r="R41" s="228"/>
      <c r="S41" s="228"/>
      <c r="T41" s="228"/>
      <c r="U41" s="228"/>
      <c r="V41" s="228"/>
    </row>
    <row r="42" spans="1:58" x14ac:dyDescent="0.2">
      <c r="A42" s="236"/>
      <c r="B42" s="237">
        <f t="shared" ca="1" si="5"/>
        <v>47469</v>
      </c>
      <c r="C42" s="238">
        <f t="shared" ca="1" si="2"/>
        <v>9.7589041095890412</v>
      </c>
      <c r="D42" s="239">
        <f t="shared" si="8"/>
        <v>6.5479414595657287E-2</v>
      </c>
      <c r="E42" s="238">
        <v>0.95028602238248061</v>
      </c>
      <c r="F42" s="238">
        <f t="shared" ca="1" si="7"/>
        <v>0.24931506849314999</v>
      </c>
      <c r="G42" s="228">
        <f t="shared" ca="1" si="0"/>
        <v>0.52781611224972813</v>
      </c>
      <c r="H42" s="228">
        <f t="shared" ca="1" si="4"/>
        <v>8.6873178499233816E-3</v>
      </c>
      <c r="I42" s="244">
        <f t="shared" ca="1" si="1"/>
        <v>-2.0268998543959083E-5</v>
      </c>
      <c r="J42" s="244"/>
      <c r="K42" s="245"/>
      <c r="L42" s="245"/>
      <c r="M42" s="245"/>
      <c r="N42" s="245">
        <v>1</v>
      </c>
      <c r="O42" s="228"/>
      <c r="P42" s="228"/>
      <c r="Q42" s="228"/>
      <c r="R42" s="228"/>
      <c r="S42" s="228"/>
      <c r="T42" s="228"/>
      <c r="U42" s="228"/>
      <c r="V42" s="228"/>
    </row>
    <row r="43" spans="1:58" x14ac:dyDescent="0.2">
      <c r="A43" s="236">
        <v>5</v>
      </c>
      <c r="B43" s="237">
        <f t="shared" ca="1" si="5"/>
        <v>47559</v>
      </c>
      <c r="C43" s="238">
        <f t="shared" ca="1" si="2"/>
        <v>10.005479452054795</v>
      </c>
      <c r="D43" s="248">
        <v>6.5479414595657287E-2</v>
      </c>
      <c r="E43" s="238">
        <v>0.94841388239266378</v>
      </c>
      <c r="F43" s="238">
        <f t="shared" ca="1" si="7"/>
        <v>0.24657534246575352</v>
      </c>
      <c r="G43" s="228">
        <f t="shared" ca="1" si="0"/>
        <v>0.51936262661088661</v>
      </c>
      <c r="H43" s="228">
        <f t="shared" ca="1" si="4"/>
        <v>8.453485638841518E-3</v>
      </c>
      <c r="I43" s="244">
        <f t="shared" ca="1" si="1"/>
        <v>-2.0801555442409274E-5</v>
      </c>
      <c r="J43" s="244"/>
      <c r="K43" s="245"/>
      <c r="L43" s="245"/>
      <c r="M43" s="245"/>
      <c r="N43" s="245">
        <v>1</v>
      </c>
      <c r="O43" s="228"/>
      <c r="P43" s="228"/>
      <c r="Q43" s="228"/>
      <c r="R43" s="228"/>
      <c r="S43" s="228"/>
      <c r="T43" s="228"/>
      <c r="U43" s="228"/>
      <c r="V43" s="228"/>
    </row>
    <row r="44" spans="1:58" ht="13.5" thickBot="1" x14ac:dyDescent="0.25">
      <c r="A44" s="249"/>
      <c r="B44" s="250"/>
      <c r="C44" s="251"/>
      <c r="D44" s="252"/>
      <c r="E44" s="253"/>
      <c r="F44" s="254"/>
      <c r="G44" s="254"/>
      <c r="H44" s="254"/>
      <c r="I44" s="255"/>
      <c r="J44" s="244"/>
      <c r="K44" s="245"/>
      <c r="L44" s="245"/>
      <c r="M44" s="245"/>
      <c r="N44" s="245"/>
      <c r="O44" s="228"/>
      <c r="P44" s="228"/>
      <c r="Q44" s="228"/>
      <c r="R44" s="228"/>
      <c r="S44" s="228"/>
      <c r="T44" s="228"/>
      <c r="U44" s="228"/>
      <c r="V44" s="228"/>
    </row>
    <row r="45" spans="1:58" x14ac:dyDescent="0.2">
      <c r="A45" s="228"/>
      <c r="B45" s="228"/>
      <c r="C45" s="238"/>
      <c r="D45" s="228"/>
      <c r="E45" s="238"/>
      <c r="F45" s="228"/>
      <c r="G45" s="228"/>
      <c r="H45" s="228"/>
      <c r="I45" s="228"/>
      <c r="J45" s="256">
        <f ca="1">(1-Recovery)*SUMPRODUCT(DF,$H$3:$H$44,CFLOW1)/SUMPRODUCT(DF,$F$3:$F$44,$G$3:$G$44,CFLOW1)</f>
        <v>3.6496967732235631E-2</v>
      </c>
      <c r="K45" s="256">
        <f ca="1">(1-Recovery)*SUMPRODUCT(DF,$H$3:$H$44,CFLOW2)/SUMPRODUCT(DF,$F$3:$F$44,$G$3:$G$44,CFLOW2)</f>
        <v>3.9496528101482735E-2</v>
      </c>
      <c r="L45" s="256">
        <f ca="1">(1-Recovery)*SUMPRODUCT(DF,$H$3:$H$44,CFLOW3)/SUMPRODUCT(DF,$F$3:$F$44,$G$3:$G$44,CFLOW3)</f>
        <v>4.049629051674275E-2</v>
      </c>
      <c r="M45" s="256">
        <f ca="1">(1-Recovery)*SUMPRODUCT(DF,$H$3:$H$44,CFLOW4)/SUMPRODUCT(DF,$F$3:$F$44,$G$3:$G$44,CFLOW4)</f>
        <v>4.7002523506878433E-2</v>
      </c>
      <c r="N45" s="256">
        <f ca="1">(1-Recovery)*SUMPRODUCT(DF,$H$3:$H$44,CFLOW5)/SUMPRODUCT(DF,$F$3:$F$44,$G$3:$G$44,CFLOW5)</f>
        <v>4.8995579677573696E-2</v>
      </c>
      <c r="O45" s="257" t="s">
        <v>234</v>
      </c>
      <c r="P45" s="228"/>
      <c r="Q45" s="228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8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8"/>
      <c r="BE45" s="228"/>
      <c r="BF45" s="228"/>
    </row>
    <row r="46" spans="1:58" ht="13.5" thickBot="1" x14ac:dyDescent="0.25">
      <c r="A46" s="228"/>
      <c r="B46" s="228"/>
      <c r="C46" s="238"/>
      <c r="D46" s="228"/>
      <c r="E46" s="238"/>
      <c r="F46" s="228"/>
      <c r="G46" s="228"/>
      <c r="H46" s="228"/>
      <c r="I46" s="228"/>
      <c r="J46" s="258">
        <v>3.6499999999999998E-2</v>
      </c>
      <c r="K46" s="258">
        <v>3.95E-2</v>
      </c>
      <c r="L46" s="258">
        <v>4.0500000000000001E-2</v>
      </c>
      <c r="M46" s="258">
        <v>4.7E-2</v>
      </c>
      <c r="N46" s="258">
        <v>4.9000000000000002E-2</v>
      </c>
      <c r="O46" s="257" t="s">
        <v>235</v>
      </c>
      <c r="P46" s="228"/>
      <c r="Q46" s="228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  <c r="AC46" s="228"/>
      <c r="AD46" s="228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8"/>
      <c r="BE46" s="228"/>
      <c r="BF46" s="228"/>
    </row>
    <row r="47" spans="1:58" ht="13.5" thickBot="1" x14ac:dyDescent="0.25">
      <c r="A47" s="228"/>
      <c r="B47" s="228"/>
      <c r="C47" s="238"/>
      <c r="D47" s="228"/>
      <c r="E47" s="238"/>
      <c r="F47" s="228"/>
      <c r="G47" s="228"/>
      <c r="H47" s="228"/>
      <c r="I47" s="228"/>
      <c r="J47" s="259">
        <f ca="1">+J46-J45</f>
        <v>3.0322677643662699E-6</v>
      </c>
      <c r="K47" s="259">
        <f ca="1">+K46-K45</f>
        <v>3.4718985172654815E-6</v>
      </c>
      <c r="L47" s="259">
        <f ca="1">+L46-L45</f>
        <v>3.7094832572512337E-6</v>
      </c>
      <c r="M47" s="259">
        <f ca="1">+M46-M45</f>
        <v>-2.5235068784323911E-6</v>
      </c>
      <c r="N47" s="259">
        <f ca="1">+N46-N45</f>
        <v>4.4203224263059115E-6</v>
      </c>
      <c r="O47" s="257" t="s">
        <v>236</v>
      </c>
      <c r="P47" s="228"/>
      <c r="Q47" s="228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  <c r="AC47" s="228"/>
      <c r="AD47" s="228"/>
      <c r="AE47" s="228"/>
      <c r="AF47" s="228"/>
      <c r="AG47" s="228"/>
      <c r="AH47" s="228"/>
      <c r="AI47" s="228"/>
      <c r="AJ47" s="228"/>
      <c r="AK47" s="228"/>
      <c r="AL47" s="228"/>
      <c r="AM47" s="228"/>
      <c r="AN47" s="228"/>
      <c r="AO47" s="228"/>
      <c r="AP47" s="228"/>
      <c r="AQ47" s="228"/>
      <c r="AR47" s="228"/>
      <c r="AS47" s="228"/>
      <c r="AT47" s="228"/>
      <c r="AU47" s="228"/>
      <c r="AV47" s="228"/>
      <c r="AW47" s="228"/>
      <c r="AX47" s="228"/>
      <c r="AY47" s="228"/>
      <c r="AZ47" s="228"/>
      <c r="BA47" s="228"/>
      <c r="BB47" s="228"/>
      <c r="BC47" s="228"/>
      <c r="BD47" s="228"/>
      <c r="BE47" s="228"/>
      <c r="BF47" s="228"/>
    </row>
    <row r="48" spans="1:58" x14ac:dyDescent="0.2">
      <c r="A48" s="228"/>
      <c r="B48" s="228"/>
      <c r="C48" s="228"/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60"/>
      <c r="S48" s="261"/>
      <c r="T48" s="228"/>
      <c r="U48" s="228"/>
      <c r="V48" s="228"/>
      <c r="W48" s="228"/>
      <c r="X48" s="228"/>
      <c r="Y48" s="228"/>
      <c r="Z48" s="228"/>
      <c r="AA48" s="228"/>
      <c r="AB48" s="228"/>
      <c r="AC48" s="228"/>
      <c r="AD48" s="228"/>
      <c r="AE48" s="228"/>
      <c r="AF48" s="228"/>
      <c r="AG48" s="228"/>
      <c r="AH48" s="228"/>
      <c r="AI48" s="228"/>
      <c r="AJ48" s="228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8"/>
      <c r="AV48" s="228"/>
      <c r="AW48" s="228"/>
      <c r="AX48" s="228"/>
      <c r="AY48" s="228"/>
      <c r="AZ48" s="228"/>
      <c r="BA48" s="228"/>
      <c r="BB48" s="228"/>
      <c r="BC48" s="228"/>
      <c r="BD48" s="228"/>
      <c r="BE48" s="228"/>
      <c r="BF48" s="228"/>
    </row>
    <row r="61" spans="23:23" x14ac:dyDescent="0.2">
      <c r="W61" s="262"/>
    </row>
  </sheetData>
  <mergeCells count="1">
    <mergeCell ref="J1:N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6E5D-E101-4CCD-AB95-178AF3A0AEFE}">
  <sheetPr codeName="Sheet3"/>
  <dimension ref="A1:AI89"/>
  <sheetViews>
    <sheetView tabSelected="1" workbookViewId="0">
      <selection activeCell="O9" sqref="O9"/>
    </sheetView>
  </sheetViews>
  <sheetFormatPr defaultColWidth="9.140625" defaultRowHeight="15" x14ac:dyDescent="0.25"/>
  <cols>
    <col min="1" max="1" width="6.28515625" bestFit="1" customWidth="1"/>
    <col min="2" max="2" width="11.5703125" bestFit="1" customWidth="1"/>
    <col min="3" max="3" width="15.28515625" bestFit="1" customWidth="1"/>
    <col min="4" max="4" width="15.85546875" bestFit="1" customWidth="1"/>
    <col min="5" max="5" width="12" bestFit="1" customWidth="1"/>
    <col min="6" max="6" width="12" customWidth="1"/>
    <col min="7" max="7" width="11.42578125" customWidth="1"/>
    <col min="10" max="10" width="10.140625" customWidth="1"/>
    <col min="14" max="14" width="10.5703125" style="5" customWidth="1"/>
    <col min="15" max="25" width="10.7109375" style="5" customWidth="1"/>
    <col min="26" max="26" width="9.140625" style="5"/>
    <col min="27" max="27" width="10.140625" style="5" bestFit="1" customWidth="1"/>
    <col min="28" max="28" width="11.28515625" style="5" bestFit="1" customWidth="1"/>
    <col min="29" max="35" width="9.140625" style="5"/>
  </cols>
  <sheetData>
    <row r="1" spans="1:35" ht="15.75" thickBot="1" x14ac:dyDescent="0.3">
      <c r="B1" s="263"/>
      <c r="C1" s="263"/>
      <c r="D1" s="263"/>
      <c r="E1" s="264"/>
      <c r="F1" s="263"/>
      <c r="H1" s="323" t="s">
        <v>237</v>
      </c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AD1" s="97"/>
      <c r="AE1" s="97"/>
    </row>
    <row r="2" spans="1:35" ht="15.75" thickBot="1" x14ac:dyDescent="0.3">
      <c r="A2" s="1" t="s">
        <v>238</v>
      </c>
      <c r="B2" s="265" t="s">
        <v>239</v>
      </c>
      <c r="C2" s="266" t="s">
        <v>240</v>
      </c>
      <c r="D2" s="265" t="s">
        <v>241</v>
      </c>
      <c r="E2" s="267" t="s">
        <v>242</v>
      </c>
      <c r="F2" s="268" t="s">
        <v>243</v>
      </c>
      <c r="G2" s="23" t="s">
        <v>244</v>
      </c>
      <c r="H2" s="269">
        <v>1</v>
      </c>
      <c r="I2" s="269">
        <v>2</v>
      </c>
      <c r="J2" s="269">
        <v>3</v>
      </c>
      <c r="K2" s="269">
        <v>4</v>
      </c>
      <c r="L2" s="269">
        <v>5</v>
      </c>
      <c r="M2" s="269">
        <v>6</v>
      </c>
      <c r="N2" s="269">
        <v>7</v>
      </c>
      <c r="O2" s="269">
        <v>8</v>
      </c>
      <c r="P2" s="269">
        <v>9</v>
      </c>
      <c r="Q2" s="269">
        <v>10</v>
      </c>
      <c r="R2" s="269">
        <v>11</v>
      </c>
      <c r="S2" s="269">
        <v>12</v>
      </c>
      <c r="T2" s="269">
        <v>13</v>
      </c>
      <c r="U2" s="269">
        <v>14</v>
      </c>
      <c r="V2" s="269">
        <v>15</v>
      </c>
      <c r="W2" s="269">
        <v>16</v>
      </c>
      <c r="X2" s="269">
        <v>17</v>
      </c>
      <c r="Y2" s="269">
        <v>18</v>
      </c>
      <c r="AA2" s="8" t="s">
        <v>245</v>
      </c>
      <c r="AB2" s="2" t="s">
        <v>246</v>
      </c>
    </row>
    <row r="3" spans="1:35" x14ac:dyDescent="0.25">
      <c r="A3" s="41"/>
      <c r="B3" s="118">
        <f ca="1">+As_of_date</f>
        <v>43907</v>
      </c>
      <c r="C3" s="270">
        <f t="shared" ref="C3:C37" ca="1" si="0">(date-As_of_date)/360</f>
        <v>0</v>
      </c>
      <c r="D3" s="271">
        <f>rate1</f>
        <v>1.1777714397185383E-3</v>
      </c>
      <c r="E3" s="13">
        <v>1</v>
      </c>
      <c r="F3" s="13"/>
      <c r="G3" s="13"/>
      <c r="H3" s="272"/>
      <c r="I3" s="273"/>
      <c r="J3" s="273"/>
      <c r="K3" s="273"/>
      <c r="L3" s="273"/>
      <c r="M3" s="273"/>
      <c r="N3" s="273"/>
      <c r="O3" s="273"/>
      <c r="P3" s="274"/>
      <c r="Q3" s="273"/>
      <c r="R3" s="273"/>
      <c r="S3" s="273"/>
      <c r="T3" s="273"/>
      <c r="U3" s="273"/>
      <c r="V3" s="273"/>
      <c r="W3" s="273"/>
      <c r="X3" s="274"/>
      <c r="Y3" s="273"/>
      <c r="AA3" s="17"/>
      <c r="AB3" s="275"/>
    </row>
    <row r="4" spans="1:35" ht="15.75" thickBot="1" x14ac:dyDescent="0.3">
      <c r="A4" s="160">
        <v>1</v>
      </c>
      <c r="B4" s="276">
        <f ca="1">+mat_1</f>
        <v>43908</v>
      </c>
      <c r="C4" s="277">
        <f t="shared" ca="1" si="0"/>
        <v>2.7777777777777779E-3</v>
      </c>
      <c r="D4" s="278">
        <v>1.1777714397185383E-3</v>
      </c>
      <c r="E4" s="279">
        <f t="shared" ref="E4:E10" ca="1" si="1">1/(1+D4*time)</f>
        <v>0.99999672842337062</v>
      </c>
      <c r="F4" s="17"/>
      <c r="G4" s="17"/>
      <c r="H4" s="280" t="e">
        <f ca="1">coupon1_OISUSD*100*$C4+100</f>
        <v>#NAME?</v>
      </c>
      <c r="I4" s="279"/>
      <c r="J4" s="279"/>
      <c r="K4" s="279"/>
      <c r="L4" s="279"/>
      <c r="M4" s="279"/>
      <c r="N4" s="279"/>
      <c r="O4" s="279"/>
      <c r="P4" s="281"/>
      <c r="Q4" s="279"/>
      <c r="R4" s="279"/>
      <c r="S4" s="279"/>
      <c r="T4" s="279"/>
      <c r="U4" s="279"/>
      <c r="V4" s="279"/>
      <c r="W4" s="279"/>
      <c r="X4" s="281"/>
      <c r="Y4" s="279"/>
      <c r="Z4" s="282"/>
      <c r="AA4" s="283">
        <f ca="1">(E3/E4-1)*(1/(C4-C3))</f>
        <v>1.1777714397354089E-3</v>
      </c>
      <c r="AB4" s="284">
        <f ca="1">(E3/E4-1)*(1/(C4-C3))</f>
        <v>1.1777714397354089E-3</v>
      </c>
    </row>
    <row r="5" spans="1:35" ht="15.75" thickBot="1" x14ac:dyDescent="0.3">
      <c r="A5" s="160">
        <v>2</v>
      </c>
      <c r="B5" s="276">
        <f ca="1">mat_2</f>
        <v>43938</v>
      </c>
      <c r="C5" s="277">
        <f t="shared" ca="1" si="0"/>
        <v>8.611111111111111E-2</v>
      </c>
      <c r="D5" s="278">
        <v>1.2623705816973158E-3</v>
      </c>
      <c r="E5" s="279">
        <f t="shared" ca="1" si="1"/>
        <v>0.99989130768188028</v>
      </c>
      <c r="F5" s="279"/>
      <c r="G5" s="279">
        <f ca="1">(E5-E3)/(B5-B3)</f>
        <v>-3.5062038103135026E-6</v>
      </c>
      <c r="H5" s="280"/>
      <c r="I5" s="280" t="e">
        <f ca="1">coupon2_OISUSD*100*$C5+100</f>
        <v>#NAME?</v>
      </c>
      <c r="J5" s="279"/>
      <c r="K5" s="279"/>
      <c r="L5" s="279"/>
      <c r="M5" s="279"/>
      <c r="N5" s="279"/>
      <c r="O5" s="279"/>
      <c r="P5" s="281"/>
      <c r="Q5" s="279"/>
      <c r="R5" s="279"/>
      <c r="S5" s="279"/>
      <c r="T5" s="279"/>
      <c r="U5" s="279"/>
      <c r="V5" s="279"/>
      <c r="W5" s="279"/>
      <c r="X5" s="281"/>
      <c r="Y5" s="279"/>
      <c r="AA5" s="283">
        <f ca="1">(E4/E5-1)*(1/(C5-C4))</f>
        <v>1.2651864139279212E-3</v>
      </c>
      <c r="AB5" s="284">
        <f ca="1">(E4/E5-1)*(1/(C5-C4))</f>
        <v>1.2651864139279212E-3</v>
      </c>
    </row>
    <row r="6" spans="1:35" ht="15.75" thickBot="1" x14ac:dyDescent="0.3">
      <c r="A6" s="160">
        <v>3</v>
      </c>
      <c r="B6" s="276">
        <f ca="1">mat_3</f>
        <v>43999</v>
      </c>
      <c r="C6" s="277">
        <f t="shared" ca="1" si="0"/>
        <v>0.25555555555555554</v>
      </c>
      <c r="D6" s="278">
        <v>1.299999827874002E-3</v>
      </c>
      <c r="E6" s="279">
        <f t="shared" ca="1" si="1"/>
        <v>0.9996678881566855</v>
      </c>
      <c r="F6" s="279"/>
      <c r="G6" s="279">
        <f ca="1">(E6-E5)/(B6-B5)</f>
        <v>-3.662615167127525E-6</v>
      </c>
      <c r="H6" s="280"/>
      <c r="I6" s="280"/>
      <c r="J6" s="280" t="e">
        <f ca="1">coupon3_OISUSD*100*$C6+100</f>
        <v>#NAME?</v>
      </c>
      <c r="K6" s="279"/>
      <c r="L6" s="279"/>
      <c r="M6" s="279"/>
      <c r="N6" s="279"/>
      <c r="O6" s="279"/>
      <c r="P6" s="281"/>
      <c r="Q6" s="279"/>
      <c r="R6" s="279"/>
      <c r="S6" s="279"/>
      <c r="T6" s="279"/>
      <c r="U6" s="279"/>
      <c r="V6" s="279"/>
      <c r="W6" s="279"/>
      <c r="X6" s="281"/>
      <c r="Y6" s="279"/>
      <c r="AA6" s="283">
        <f ca="1">(E5/E6-1)*(1/(C6-C5))</f>
        <v>1.318979508881243E-3</v>
      </c>
      <c r="AB6" s="284">
        <f ca="1">(E5/E6-1)*(1/(C6-C5))</f>
        <v>1.318979508881243E-3</v>
      </c>
    </row>
    <row r="7" spans="1:35" ht="15.75" thickBot="1" x14ac:dyDescent="0.3">
      <c r="A7" s="160">
        <v>4</v>
      </c>
      <c r="B7" s="276">
        <f ca="1">mat_4</f>
        <v>44091</v>
      </c>
      <c r="C7" s="277">
        <f t="shared" ca="1" si="0"/>
        <v>0.51111111111111107</v>
      </c>
      <c r="D7" s="278">
        <v>1.87500003520907E-3</v>
      </c>
      <c r="E7" s="279">
        <f t="shared" ca="1" si="1"/>
        <v>0.99904258417218983</v>
      </c>
      <c r="F7" s="279"/>
      <c r="G7" s="279">
        <f t="shared" ref="G7:G62" ca="1" si="2">(E7-E6)/(B7-B6)</f>
        <v>-6.7967824401703601E-6</v>
      </c>
      <c r="H7" s="280"/>
      <c r="I7" s="279"/>
      <c r="J7" s="280"/>
      <c r="K7" s="280" t="e">
        <f ca="1">coupon4_OISUSD*100*$C7+100</f>
        <v>#NAME?</v>
      </c>
      <c r="L7" s="279"/>
      <c r="M7" s="279"/>
      <c r="N7" s="279"/>
      <c r="O7" s="279"/>
      <c r="P7" s="281"/>
      <c r="Q7" s="279"/>
      <c r="R7" s="279"/>
      <c r="S7" s="279"/>
      <c r="T7" s="279"/>
      <c r="U7" s="279"/>
      <c r="V7" s="279"/>
      <c r="W7" s="279"/>
      <c r="X7" s="281"/>
      <c r="Y7" s="279"/>
      <c r="AA7" s="283">
        <f ca="1">(E6/E7-1)*(1/(C7-C6))</f>
        <v>2.4491865684469921E-3</v>
      </c>
      <c r="AB7" s="284">
        <f ca="1">($E$6/E7-1)*(1/(C7-$C$6))</f>
        <v>2.4491865684469921E-3</v>
      </c>
    </row>
    <row r="8" spans="1:35" ht="15.75" thickBot="1" x14ac:dyDescent="0.3">
      <c r="A8" s="160">
        <v>5</v>
      </c>
      <c r="B8" s="276">
        <f ca="1">mat_5</f>
        <v>44182</v>
      </c>
      <c r="C8" s="277">
        <f t="shared" ca="1" si="0"/>
        <v>0.76388888888888884</v>
      </c>
      <c r="D8" s="278">
        <v>2.6900001283450157E-3</v>
      </c>
      <c r="E8" s="279">
        <f t="shared" ca="1" si="1"/>
        <v>0.99794935258667083</v>
      </c>
      <c r="F8" s="279"/>
      <c r="G8" s="279">
        <f t="shared" ca="1" si="2"/>
        <v>-1.2013533906802136E-5</v>
      </c>
      <c r="H8" s="280"/>
      <c r="I8" s="279"/>
      <c r="J8" s="279"/>
      <c r="K8" s="280"/>
      <c r="L8" s="280" t="e">
        <f ca="1">coupon5_OISUSD*100*$C8+100</f>
        <v>#NAME?</v>
      </c>
      <c r="M8" s="279"/>
      <c r="N8" s="279"/>
      <c r="O8" s="279"/>
      <c r="P8" s="281"/>
      <c r="Q8" s="279"/>
      <c r="R8" s="279"/>
      <c r="S8" s="279"/>
      <c r="T8" s="279"/>
      <c r="U8" s="279"/>
      <c r="V8" s="279"/>
      <c r="W8" s="279"/>
      <c r="X8" s="281"/>
      <c r="Y8" s="279"/>
      <c r="AA8" s="283">
        <f ca="1">(E7/E8-1)*(1/(C8-C7))</f>
        <v>4.3337592185806809E-3</v>
      </c>
      <c r="AB8" s="284">
        <f t="shared" ref="AB8:AB10" ca="1" si="3">($E$6/E8-1)*(1/(C8-$C$6))</f>
        <v>3.387672633627718E-3</v>
      </c>
    </row>
    <row r="9" spans="1:35" ht="15.75" thickBot="1" x14ac:dyDescent="0.3">
      <c r="A9" s="160">
        <v>6</v>
      </c>
      <c r="B9" s="276">
        <f ca="1">mat_6</f>
        <v>44272</v>
      </c>
      <c r="C9" s="277">
        <f t="shared" ca="1" si="0"/>
        <v>1.0138888888888888</v>
      </c>
      <c r="D9" s="278">
        <v>3.6100002649272298E-3</v>
      </c>
      <c r="E9" s="279">
        <f ca="1">1/(1+D9*time)</f>
        <v>0.99635320860648291</v>
      </c>
      <c r="F9" s="279">
        <f ca="1">+(B9-B3)/360</f>
        <v>1.0138888888888888</v>
      </c>
      <c r="G9" s="279">
        <f t="shared" ca="1" si="2"/>
        <v>-1.7734933113199169E-5</v>
      </c>
      <c r="H9" s="280"/>
      <c r="I9" s="279"/>
      <c r="J9" s="279"/>
      <c r="K9" s="279"/>
      <c r="L9" s="280"/>
      <c r="M9" s="280" t="e">
        <f ca="1">coupon6_OISUSD*100*$C9+100</f>
        <v>#NAME?</v>
      </c>
      <c r="N9" s="279"/>
      <c r="O9" s="279" t="e">
        <f ca="1">coupon8_OISUSD*100*$F9</f>
        <v>#NAME?</v>
      </c>
      <c r="P9" s="281" t="e">
        <f ca="1">coupon9_OISUSD*100*$F9</f>
        <v>#NAME?</v>
      </c>
      <c r="Q9" s="279" t="e">
        <f ca="1">coupon10_OISUSD*100*$F9</f>
        <v>#NAME?</v>
      </c>
      <c r="R9" s="279" t="e">
        <f ca="1">coupon11_OISUSD*100*$F9</f>
        <v>#NAME?</v>
      </c>
      <c r="S9" s="279" t="e">
        <f ca="1">coupon12_OISUSD*100*$F9</f>
        <v>#NAME?</v>
      </c>
      <c r="T9" s="279" t="e">
        <f ca="1">coupon13_OISUSD*100*$F9</f>
        <v>#NAME?</v>
      </c>
      <c r="U9" s="279" t="e">
        <f ca="1">coupon14_OISUSD*100*$F9</f>
        <v>#NAME?</v>
      </c>
      <c r="V9" s="279" t="e">
        <f ca="1">coupon15_OISUSD*100*$F9</f>
        <v>#NAME?</v>
      </c>
      <c r="W9" s="279" t="e">
        <f ca="1">coupon16_OISUSD*100*$F9</f>
        <v>#NAME?</v>
      </c>
      <c r="X9" s="281" t="e">
        <f ca="1">coupon17_OISUSD*100*$F9</f>
        <v>#NAME?</v>
      </c>
      <c r="Y9" s="279" t="e">
        <f ca="1">coupon18_OISUSD*100*$F9</f>
        <v>#NAME?</v>
      </c>
      <c r="AA9" s="283">
        <f t="shared" ref="AA9:AA10" ca="1" si="4">(E8/E9-1)*(1/(C9-C8))</f>
        <v>6.4079443570834727E-3</v>
      </c>
      <c r="AB9" s="284">
        <f t="shared" ca="1" si="3"/>
        <v>4.3870044904864994E-3</v>
      </c>
    </row>
    <row r="10" spans="1:35" x14ac:dyDescent="0.25">
      <c r="A10" s="56"/>
      <c r="B10" s="131">
        <f ca="1">EDATE(B9,3)</f>
        <v>44364</v>
      </c>
      <c r="C10" s="282">
        <f t="shared" ca="1" si="0"/>
        <v>1.2694444444444444</v>
      </c>
      <c r="D10" s="52">
        <f ca="1">rate6+(rate7-rate6)/(time7-time6)*(time-time6)</f>
        <v>4.6083564708492234E-3</v>
      </c>
      <c r="E10" s="279">
        <f t="shared" ca="1" si="1"/>
        <v>0.99418397155193938</v>
      </c>
      <c r="F10" s="279"/>
      <c r="G10" s="279">
        <f t="shared" ca="1" si="2"/>
        <v>-2.3578663636342684E-5</v>
      </c>
      <c r="H10" s="280"/>
      <c r="I10" s="279"/>
      <c r="J10" s="279"/>
      <c r="K10" s="279"/>
      <c r="L10" s="279"/>
      <c r="M10" s="280"/>
      <c r="N10" s="279"/>
      <c r="O10" s="279"/>
      <c r="P10" s="281"/>
      <c r="Q10" s="279"/>
      <c r="R10" s="279"/>
      <c r="S10" s="279"/>
      <c r="T10" s="279"/>
      <c r="U10" s="279"/>
      <c r="V10" s="279"/>
      <c r="W10" s="279"/>
      <c r="X10" s="281"/>
      <c r="Y10" s="279"/>
      <c r="AA10" s="283">
        <f t="shared" ca="1" si="4"/>
        <v>8.5379760205074665E-3</v>
      </c>
      <c r="AB10" s="284">
        <f t="shared" ca="1" si="3"/>
        <v>5.4404361911331266E-3</v>
      </c>
    </row>
    <row r="11" spans="1:35" ht="15.75" thickBot="1" x14ac:dyDescent="0.3">
      <c r="A11" s="160">
        <v>7</v>
      </c>
      <c r="B11" s="276">
        <f ca="1">mat_7</f>
        <v>44456</v>
      </c>
      <c r="C11" s="277">
        <f t="shared" ca="1" si="0"/>
        <v>1.5249999999999999</v>
      </c>
      <c r="D11" s="278">
        <v>5.6067126767712179E-3</v>
      </c>
      <c r="E11" s="279">
        <f ca="1">1/(1+D11)^(C11)</f>
        <v>0.99150988960049935</v>
      </c>
      <c r="F11" s="279"/>
      <c r="G11" s="279">
        <f t="shared" ca="1" si="2"/>
        <v>-2.9066108167826441E-5</v>
      </c>
      <c r="H11" s="280"/>
      <c r="I11" s="279"/>
      <c r="J11" s="279"/>
      <c r="K11" s="279"/>
      <c r="L11" s="279"/>
      <c r="M11" s="280"/>
      <c r="N11" s="280" t="e">
        <f ca="1">coupon7_OISUSD*100*$C11+100</f>
        <v>#NAME?</v>
      </c>
      <c r="O11" s="279"/>
      <c r="P11" s="281"/>
      <c r="Q11" s="279"/>
      <c r="R11" s="279"/>
      <c r="S11" s="279"/>
      <c r="T11" s="279"/>
      <c r="U11" s="279"/>
      <c r="V11" s="279"/>
      <c r="W11" s="279"/>
      <c r="X11" s="281"/>
      <c r="Y11" s="279"/>
      <c r="AA11" s="283">
        <f ca="1">(E10/E11-1)*(1/(C11-C10))</f>
        <v>1.0553398458419502E-2</v>
      </c>
      <c r="AB11" s="285">
        <f ca="1">(($E$6/E11)^(1/(4*(C11-$C$6)))-1)*4</f>
        <v>6.460152632387306E-3</v>
      </c>
      <c r="AC11" s="52"/>
    </row>
    <row r="12" spans="1:35" x14ac:dyDescent="0.25">
      <c r="A12" s="56"/>
      <c r="B12" s="131">
        <f ca="1">EDATE(B11,3)</f>
        <v>44547</v>
      </c>
      <c r="C12" s="282">
        <f t="shared" ca="1" si="0"/>
        <v>1.7777777777777777</v>
      </c>
      <c r="D12" s="286">
        <f ca="1">rate7+(rate8-rate7)/(time8-time7)*(time-time7)</f>
        <v>6.6316042599432468E-3</v>
      </c>
      <c r="E12" s="279">
        <f t="shared" ref="E12:E65" ca="1" si="5">1/(1+D12)^(C12)</f>
        <v>0.98831816972126518</v>
      </c>
      <c r="F12" s="279"/>
      <c r="G12" s="279">
        <f t="shared" ca="1" si="2"/>
        <v>-3.5073844826749093E-5</v>
      </c>
      <c r="H12" s="280"/>
      <c r="I12" s="279"/>
      <c r="J12" s="279"/>
      <c r="K12" s="279"/>
      <c r="L12" s="279"/>
      <c r="M12" s="279"/>
      <c r="N12" s="279"/>
      <c r="O12" s="279"/>
      <c r="P12" s="281"/>
      <c r="Q12" s="279"/>
      <c r="R12" s="279"/>
      <c r="S12" s="279"/>
      <c r="T12" s="279"/>
      <c r="U12" s="279"/>
      <c r="V12" s="279"/>
      <c r="W12" s="279"/>
      <c r="X12" s="281"/>
      <c r="Y12" s="279"/>
      <c r="AA12" s="287">
        <f ca="1">((E11/E12)^(1/(4*(C12-C11)))-1)*4</f>
        <v>1.277560275544154E-2</v>
      </c>
      <c r="AB12" s="285">
        <f ca="1">(($E$6/E12)^(1/(4*(C12-$C$6)))-1)*4</f>
        <v>7.5081974922062145E-3</v>
      </c>
      <c r="AC12" s="52"/>
    </row>
    <row r="13" spans="1:35" ht="15.75" thickBot="1" x14ac:dyDescent="0.3">
      <c r="A13" s="160">
        <v>8</v>
      </c>
      <c r="B13" s="276">
        <f ca="1">mat_8</f>
        <v>44637</v>
      </c>
      <c r="C13" s="277">
        <f t="shared" ca="1" si="0"/>
        <v>2.0277777777777777</v>
      </c>
      <c r="D13" s="278">
        <v>7.6452332982452527E-3</v>
      </c>
      <c r="E13" s="279">
        <f t="shared" ca="1" si="5"/>
        <v>0.98467477192410713</v>
      </c>
      <c r="F13" s="279">
        <f ca="1">+(B13-B9)/360</f>
        <v>1.0138888888888888</v>
      </c>
      <c r="G13" s="279">
        <f t="shared" ca="1" si="2"/>
        <v>-4.0482197746200602E-5</v>
      </c>
      <c r="H13" s="280"/>
      <c r="I13" s="279"/>
      <c r="J13" s="279"/>
      <c r="K13" s="279"/>
      <c r="L13" s="279"/>
      <c r="M13" s="279"/>
      <c r="N13" s="279"/>
      <c r="O13" s="279" t="e">
        <f ca="1">coupon8_OISUSD*100*$F13+100</f>
        <v>#NAME?</v>
      </c>
      <c r="P13" s="281" t="e">
        <f ca="1">coupon9_OISUSD*100*$F13</f>
        <v>#NAME?</v>
      </c>
      <c r="Q13" s="279" t="e">
        <f ca="1">coupon10_OISUSD*100*$F13</f>
        <v>#NAME?</v>
      </c>
      <c r="R13" s="279" t="e">
        <f ca="1">coupon11_OISUSD*100*$F13</f>
        <v>#NAME?</v>
      </c>
      <c r="S13" s="279" t="e">
        <f ca="1">coupon12_OISUSD*100*$F13</f>
        <v>#NAME?</v>
      </c>
      <c r="T13" s="279" t="e">
        <f ca="1">coupon13_OISUSD*100*$F13</f>
        <v>#NAME?</v>
      </c>
      <c r="U13" s="279" t="e">
        <f ca="1">coupon14_OISUSD*100*$F13</f>
        <v>#NAME?</v>
      </c>
      <c r="V13" s="279" t="e">
        <f ca="1">coupon15_OISUSD*100*$F13</f>
        <v>#NAME?</v>
      </c>
      <c r="W13" s="279" t="e">
        <f ca="1">coupon16_OISUSD*100*$F13</f>
        <v>#NAME?</v>
      </c>
      <c r="X13" s="281" t="e">
        <f ca="1">coupon17_OISUSD*100*$F13</f>
        <v>#NAME?</v>
      </c>
      <c r="Y13" s="279" t="e">
        <f ca="1">coupon18_OISUSD*100*$F13</f>
        <v>#NAME?</v>
      </c>
      <c r="AA13" s="287">
        <f ca="1">((E12/E13)^(1/(4*(C13-C12)))-1)*4</f>
        <v>1.4800410860689617E-2</v>
      </c>
      <c r="AB13" s="285">
        <f ca="1">(($E$6/E13)^(1/(4*(C13-$C$6)))-1)*4</f>
        <v>8.5360766451589853E-3</v>
      </c>
      <c r="AC13" s="52"/>
    </row>
    <row r="14" spans="1:35" x14ac:dyDescent="0.25">
      <c r="A14" s="56"/>
      <c r="B14" s="131">
        <f ca="1">EDATE(B13,3)</f>
        <v>44729</v>
      </c>
      <c r="C14" s="282">
        <f t="shared" ca="1" si="0"/>
        <v>2.2833333333333332</v>
      </c>
      <c r="D14" s="52">
        <f ca="1">rate8+(rate9-rate8)/(time9-time8)*(time-time8)</f>
        <v>8.519368108707872E-3</v>
      </c>
      <c r="E14" s="279">
        <f t="shared" ca="1" si="5"/>
        <v>0.98081623309340848</v>
      </c>
      <c r="F14" s="279"/>
      <c r="G14" s="279">
        <f t="shared" ca="1" si="2"/>
        <v>-4.1940639464115687E-5</v>
      </c>
      <c r="H14" s="280"/>
      <c r="I14" s="279"/>
      <c r="J14" s="279"/>
      <c r="K14" s="279"/>
      <c r="L14" s="279"/>
      <c r="M14" s="279"/>
      <c r="N14" s="279"/>
      <c r="O14" s="279"/>
      <c r="P14" s="281"/>
      <c r="Q14" s="279"/>
      <c r="R14" s="279"/>
      <c r="S14" s="279"/>
      <c r="T14" s="279"/>
      <c r="U14" s="279"/>
      <c r="V14" s="279"/>
      <c r="W14" s="279"/>
      <c r="X14" s="281"/>
      <c r="Y14" s="279"/>
      <c r="AA14" s="287">
        <f ca="1">((E13/E14)^(1/(4*(C14-C13)))-1)*4</f>
        <v>1.5393286661800509E-2</v>
      </c>
      <c r="AB14" s="285">
        <f t="shared" ref="AB14:AB64" ca="1" si="6">(($E$6/E14)^(1/(4*(C14-$C$6)))-1)*4</f>
        <v>9.3996276515397881E-3</v>
      </c>
      <c r="AC14" s="52"/>
    </row>
    <row r="15" spans="1:35" x14ac:dyDescent="0.25">
      <c r="A15" s="56"/>
      <c r="B15" s="131">
        <f ca="1">EDATE(B14,3)</f>
        <v>44821</v>
      </c>
      <c r="C15" s="282">
        <f t="shared" ca="1" si="0"/>
        <v>2.5388888888888888</v>
      </c>
      <c r="D15" s="52">
        <f ca="1">rate8+(rate9-rate8)/(time9-time8)*(time-time8)</f>
        <v>9.3935029191704895E-3</v>
      </c>
      <c r="E15" s="279">
        <f t="shared" ca="1" si="5"/>
        <v>0.97654178047151718</v>
      </c>
      <c r="F15" s="279"/>
      <c r="G15" s="279">
        <f t="shared" ca="1" si="2"/>
        <v>-4.6461441542296745E-5</v>
      </c>
      <c r="H15" s="280"/>
      <c r="I15" s="279"/>
      <c r="J15" s="279"/>
      <c r="K15" s="279"/>
      <c r="L15" s="279"/>
      <c r="M15" s="279"/>
      <c r="N15" s="279"/>
      <c r="O15" s="279"/>
      <c r="P15" s="281"/>
      <c r="Q15" s="279"/>
      <c r="R15" s="279"/>
      <c r="S15" s="279"/>
      <c r="T15" s="279"/>
      <c r="U15" s="279"/>
      <c r="V15" s="279"/>
      <c r="W15" s="279"/>
      <c r="X15" s="281"/>
      <c r="Y15" s="279"/>
      <c r="AA15" s="287">
        <f t="shared" ref="AA15:AA64" ca="1" si="7">((E14/E15)^(1/(4*(C15-C14)))-1)*4</f>
        <v>1.712709551813596E-2</v>
      </c>
      <c r="AB15" s="285">
        <f t="shared" ca="1" si="6"/>
        <v>1.0263763126066472E-2</v>
      </c>
      <c r="AC15" s="52"/>
    </row>
    <row r="16" spans="1:35" x14ac:dyDescent="0.25">
      <c r="A16" s="56"/>
      <c r="B16" s="131">
        <f ca="1">EDATE(B15,3)</f>
        <v>44912</v>
      </c>
      <c r="C16" s="282">
        <f t="shared" ca="1" si="0"/>
        <v>2.7916666666666665</v>
      </c>
      <c r="D16" s="52">
        <f ca="1">rate8+(rate9-rate8)/(time9-time8)*(time-time8)</f>
        <v>1.0258136264301993E-2</v>
      </c>
      <c r="E16" s="279">
        <f t="shared" ca="1" si="5"/>
        <v>0.97191064160500484</v>
      </c>
      <c r="F16" s="279"/>
      <c r="G16" s="279">
        <f t="shared" ca="1" si="2"/>
        <v>-5.0891635895740013E-5</v>
      </c>
      <c r="H16" s="280"/>
      <c r="I16" s="279"/>
      <c r="J16" s="279"/>
      <c r="K16" s="279"/>
      <c r="L16" s="279"/>
      <c r="M16" s="279"/>
      <c r="N16" s="279"/>
      <c r="O16" s="279"/>
      <c r="P16" s="281"/>
      <c r="Q16" s="279"/>
      <c r="R16" s="279"/>
      <c r="S16" s="279"/>
      <c r="T16" s="279"/>
      <c r="U16" s="279"/>
      <c r="V16" s="279"/>
      <c r="W16" s="279"/>
      <c r="X16" s="281"/>
      <c r="Y16" s="279"/>
      <c r="Z16"/>
      <c r="AA16" s="287">
        <f t="shared" ca="1" si="7"/>
        <v>1.8849994269587E-2</v>
      </c>
      <c r="AB16" s="285">
        <f ca="1">(($E$6/E16)^(1/(4*(C16-$C$6)))-1)*4</f>
        <v>1.1118741184897196E-2</v>
      </c>
      <c r="AC16" s="52"/>
      <c r="AE16"/>
      <c r="AF16"/>
      <c r="AG16"/>
      <c r="AH16"/>
      <c r="AI16"/>
    </row>
    <row r="17" spans="1:35" ht="15.75" thickBot="1" x14ac:dyDescent="0.3">
      <c r="A17" s="160">
        <v>9</v>
      </c>
      <c r="B17" s="276">
        <f ca="1">mat_9</f>
        <v>45002</v>
      </c>
      <c r="C17" s="277">
        <f t="shared" ca="1" si="0"/>
        <v>3.0416666666666665</v>
      </c>
      <c r="D17" s="278">
        <v>1.111326814410238E-2</v>
      </c>
      <c r="E17" s="279">
        <f t="shared" ca="1" si="5"/>
        <v>0.96694234556046699</v>
      </c>
      <c r="F17" s="279">
        <f ca="1">+(B17-B13)/360</f>
        <v>1.0138888888888888</v>
      </c>
      <c r="G17" s="279">
        <f t="shared" ca="1" si="2"/>
        <v>-5.5203289383753959E-5</v>
      </c>
      <c r="H17" s="280"/>
      <c r="I17" s="279"/>
      <c r="J17" s="279"/>
      <c r="K17" s="279"/>
      <c r="L17" s="279"/>
      <c r="M17" s="279"/>
      <c r="N17" s="279"/>
      <c r="O17" s="279"/>
      <c r="P17" s="281" t="e">
        <f ca="1">coupon9_OISUSD*100*$F17+100</f>
        <v>#NAME?</v>
      </c>
      <c r="Q17" s="279" t="e">
        <f ca="1">coupon10_OISUSD*100*$F17</f>
        <v>#NAME?</v>
      </c>
      <c r="R17" s="279" t="e">
        <f ca="1">coupon11_OISUSD*100*$F17</f>
        <v>#NAME?</v>
      </c>
      <c r="S17" s="279" t="e">
        <f ca="1">coupon12_OISUSD*100*$F17</f>
        <v>#NAME?</v>
      </c>
      <c r="T17" s="279" t="e">
        <f ca="1">coupon13_OISUSD*100*$F17</f>
        <v>#NAME?</v>
      </c>
      <c r="U17" s="279" t="e">
        <f ca="1">coupon14_OISUSD*100*$F17</f>
        <v>#NAME?</v>
      </c>
      <c r="V17" s="279" t="e">
        <f ca="1">coupon15_OISUSD*100*$F17</f>
        <v>#NAME?</v>
      </c>
      <c r="W17" s="279" t="e">
        <f ca="1">coupon16_OISUSD*100*$F17</f>
        <v>#NAME?</v>
      </c>
      <c r="X17" s="281" t="e">
        <f ca="1">coupon17_OISUSD*100*$F17</f>
        <v>#NAME?</v>
      </c>
      <c r="Y17" s="279" t="e">
        <f ca="1">coupon18_OISUSD*100*$F17</f>
        <v>#NAME?</v>
      </c>
      <c r="Z17"/>
      <c r="AA17" s="287">
        <f t="shared" ca="1" si="7"/>
        <v>2.0552605095221388E-2</v>
      </c>
      <c r="AB17" s="285">
        <f ca="1">(($E$6/E17)^(1/(4*(C17-$C$6)))-1)*4</f>
        <v>1.1964344627244827E-2</v>
      </c>
      <c r="AC17" s="52"/>
      <c r="AE17"/>
      <c r="AF17"/>
      <c r="AG17"/>
      <c r="AH17"/>
      <c r="AI17"/>
    </row>
    <row r="18" spans="1:35" x14ac:dyDescent="0.25">
      <c r="A18" s="56"/>
      <c r="B18" s="131">
        <f t="shared" ref="B18:B64" ca="1" si="8">EDATE(B17,3)</f>
        <v>45094</v>
      </c>
      <c r="C18" s="282">
        <f t="shared" ca="1" si="0"/>
        <v>3.2972222222222221</v>
      </c>
      <c r="D18" s="52">
        <f ca="1">rate9+(rate10-rate9)/(time10-time9)*(time-time9)</f>
        <v>1.1758931696188872E-2</v>
      </c>
      <c r="E18" s="279">
        <f t="shared" ca="1" si="5"/>
        <v>0.96218780413948857</v>
      </c>
      <c r="F18" s="279"/>
      <c r="G18" s="279">
        <f t="shared" ca="1" si="2"/>
        <v>-5.1679798054113256E-5</v>
      </c>
      <c r="H18" s="280"/>
      <c r="I18" s="279"/>
      <c r="J18" s="279"/>
      <c r="K18" s="279"/>
      <c r="L18" s="279"/>
      <c r="M18" s="279"/>
      <c r="N18" s="279"/>
      <c r="O18" s="279"/>
      <c r="P18" s="281"/>
      <c r="Q18" s="279"/>
      <c r="R18" s="279"/>
      <c r="S18" s="279"/>
      <c r="T18" s="279"/>
      <c r="U18" s="279"/>
      <c r="V18" s="279"/>
      <c r="W18" s="279"/>
      <c r="X18" s="281"/>
      <c r="Y18" s="279"/>
      <c r="Z18"/>
      <c r="AA18" s="287">
        <f t="shared" ca="1" si="7"/>
        <v>1.9334821771491484E-2</v>
      </c>
      <c r="AB18" s="285">
        <f t="shared" ca="1" si="6"/>
        <v>1.2583078906131639E-2</v>
      </c>
      <c r="AC18" s="52"/>
      <c r="AE18"/>
      <c r="AF18"/>
      <c r="AG18"/>
      <c r="AH18"/>
      <c r="AI18"/>
    </row>
    <row r="19" spans="1:35" x14ac:dyDescent="0.25">
      <c r="A19" s="56"/>
      <c r="B19" s="131">
        <f t="shared" ca="1" si="8"/>
        <v>45186</v>
      </c>
      <c r="C19" s="282">
        <f t="shared" ca="1" si="0"/>
        <v>3.5527777777777776</v>
      </c>
      <c r="D19" s="52">
        <f ca="1">rate9+(rate10-rate9)/(time10-time9)*(time-time9)</f>
        <v>1.2404595248275366E-2</v>
      </c>
      <c r="E19" s="279">
        <f t="shared" ca="1" si="5"/>
        <v>0.95714568332881866</v>
      </c>
      <c r="F19" s="279"/>
      <c r="G19" s="279">
        <f t="shared" ca="1" si="2"/>
        <v>-5.4805660985542431E-5</v>
      </c>
      <c r="H19" s="280"/>
      <c r="I19" s="279"/>
      <c r="J19" s="279"/>
      <c r="K19" s="279"/>
      <c r="L19" s="279"/>
      <c r="M19" s="279"/>
      <c r="N19" s="279"/>
      <c r="O19" s="279"/>
      <c r="P19" s="281"/>
      <c r="Q19" s="279"/>
      <c r="R19" s="279"/>
      <c r="S19" s="279"/>
      <c r="T19" s="279"/>
      <c r="U19" s="279"/>
      <c r="V19" s="279"/>
      <c r="W19" s="279"/>
      <c r="X19" s="281"/>
      <c r="Y19" s="279"/>
      <c r="Z19"/>
      <c r="AA19" s="287">
        <f t="shared" ca="1" si="7"/>
        <v>2.0612233423063842E-2</v>
      </c>
      <c r="AB19" s="285">
        <f t="shared" ca="1" si="6"/>
        <v>1.3204815485893917E-2</v>
      </c>
      <c r="AC19" s="52"/>
      <c r="AE19"/>
      <c r="AF19"/>
      <c r="AG19"/>
      <c r="AH19"/>
      <c r="AI19"/>
    </row>
    <row r="20" spans="1:35" x14ac:dyDescent="0.25">
      <c r="A20" s="56"/>
      <c r="B20" s="131">
        <f t="shared" ca="1" si="8"/>
        <v>45277</v>
      </c>
      <c r="C20" s="282">
        <f t="shared" ca="1" si="0"/>
        <v>3.8055555555555554</v>
      </c>
      <c r="D20" s="52">
        <f ca="1">rate9+(rate10-rate9)/(time10-time9)*(time-time9)</f>
        <v>1.3043240718273962E-2</v>
      </c>
      <c r="E20" s="279">
        <f t="shared" ca="1" si="5"/>
        <v>0.95188042835450137</v>
      </c>
      <c r="F20" s="279"/>
      <c r="G20" s="279">
        <f t="shared" ca="1" si="2"/>
        <v>-5.785994477271748E-5</v>
      </c>
      <c r="H20" s="280"/>
      <c r="I20" s="279"/>
      <c r="J20" s="279"/>
      <c r="K20" s="279"/>
      <c r="L20" s="279"/>
      <c r="M20" s="279"/>
      <c r="N20" s="279"/>
      <c r="O20" s="279"/>
      <c r="P20" s="281"/>
      <c r="Q20" s="279"/>
      <c r="R20" s="279"/>
      <c r="S20" s="279"/>
      <c r="T20" s="279"/>
      <c r="U20" s="279"/>
      <c r="V20" s="279"/>
      <c r="W20" s="279"/>
      <c r="X20" s="281"/>
      <c r="Y20" s="279"/>
      <c r="Z20"/>
      <c r="AA20" s="287">
        <f t="shared" ca="1" si="7"/>
        <v>2.1881895680052388E-2</v>
      </c>
      <c r="AB20" s="285">
        <f t="shared" ca="1" si="6"/>
        <v>1.3822047532158876E-2</v>
      </c>
      <c r="AC20" s="52"/>
      <c r="AE20"/>
      <c r="AF20"/>
      <c r="AG20"/>
      <c r="AH20"/>
      <c r="AI20"/>
    </row>
    <row r="21" spans="1:35" ht="15.75" thickBot="1" x14ac:dyDescent="0.3">
      <c r="A21" s="160">
        <v>10</v>
      </c>
      <c r="B21" s="276">
        <f ca="1">mat_10</f>
        <v>45368</v>
      </c>
      <c r="C21" s="277">
        <f t="shared" ca="1" si="0"/>
        <v>4.0583333333333336</v>
      </c>
      <c r="D21" s="278">
        <v>1.368188618827256E-2</v>
      </c>
      <c r="E21" s="279">
        <f t="shared" ca="1" si="5"/>
        <v>0.9463439084015326</v>
      </c>
      <c r="F21" s="279">
        <f ca="1">+(B21-B17)/360</f>
        <v>1.0166666666666666</v>
      </c>
      <c r="G21" s="279">
        <f t="shared" ca="1" si="2"/>
        <v>-6.0840878604052495E-5</v>
      </c>
      <c r="H21" s="280"/>
      <c r="I21" s="279"/>
      <c r="J21" s="279"/>
      <c r="K21" s="279"/>
      <c r="L21" s="279"/>
      <c r="M21" s="279"/>
      <c r="N21" s="279"/>
      <c r="O21" s="279"/>
      <c r="P21" s="281"/>
      <c r="Q21" s="279" t="e">
        <f ca="1">coupon10_OISUSD*100*$F21+100</f>
        <v>#NAME?</v>
      </c>
      <c r="R21" s="279" t="e">
        <f ca="1">coupon11_OISUSD*100*$F21</f>
        <v>#NAME?</v>
      </c>
      <c r="S21" s="279" t="e">
        <f ca="1">coupon12_OISUSD*100*$F21</f>
        <v>#NAME?</v>
      </c>
      <c r="T21" s="279" t="e">
        <f ca="1">coupon13_OISUSD*100*$F21</f>
        <v>#NAME?</v>
      </c>
      <c r="U21" s="279" t="e">
        <f ca="1">coupon14_OISUSD*100*$F21</f>
        <v>#NAME?</v>
      </c>
      <c r="V21" s="279" t="e">
        <f ca="1">coupon15_OISUSD*100*$F21</f>
        <v>#NAME?</v>
      </c>
      <c r="W21" s="279" t="e">
        <f ca="1">coupon16_OISUSD*100*$F21</f>
        <v>#NAME?</v>
      </c>
      <c r="X21" s="281" t="e">
        <f ca="1">coupon17_OISUSD*100*$F21</f>
        <v>#NAME?</v>
      </c>
      <c r="Y21" s="279" t="e">
        <f ca="1">coupon18_OISUSD*100*$F21</f>
        <v>#NAME?</v>
      </c>
      <c r="Z21"/>
      <c r="AA21" s="287">
        <f t="shared" ca="1" si="7"/>
        <v>2.3143820570187046E-2</v>
      </c>
      <c r="AB21" s="285">
        <f t="shared" ca="1" si="6"/>
        <v>1.4441012590940439E-2</v>
      </c>
      <c r="AC21" s="52"/>
      <c r="AD21" s="5">
        <f ca="1">(($E$9/E25)^(1/(4*(C25-$C$9)))-1)*4</f>
        <v>1.8389557013964719E-2</v>
      </c>
      <c r="AE21"/>
      <c r="AF21"/>
      <c r="AG21"/>
      <c r="AH21"/>
      <c r="AI21"/>
    </row>
    <row r="22" spans="1:35" x14ac:dyDescent="0.25">
      <c r="A22" s="56"/>
      <c r="B22" s="131">
        <f t="shared" ca="1" si="8"/>
        <v>45460</v>
      </c>
      <c r="C22" s="282">
        <f t="shared" ca="1" si="0"/>
        <v>4.3138888888888891</v>
      </c>
      <c r="D22" s="52">
        <f ca="1">rate10+(rate11-rate10)/(time11-time10)*(time-time10)</f>
        <v>1.414504609625686E-2</v>
      </c>
      <c r="E22" s="279">
        <f t="shared" ca="1" si="5"/>
        <v>0.94120659257948114</v>
      </c>
      <c r="F22" s="279"/>
      <c r="G22" s="279">
        <f t="shared" ca="1" si="2"/>
        <v>-5.5840389370124543E-5</v>
      </c>
      <c r="H22" s="280"/>
      <c r="I22" s="279"/>
      <c r="J22" s="279"/>
      <c r="K22" s="279"/>
      <c r="L22" s="279"/>
      <c r="M22" s="279"/>
      <c r="N22" s="279"/>
      <c r="O22" s="279"/>
      <c r="P22" s="281"/>
      <c r="Q22" s="279"/>
      <c r="R22" s="279"/>
      <c r="S22" s="279"/>
      <c r="T22" s="279"/>
      <c r="U22" s="279"/>
      <c r="V22" s="279"/>
      <c r="W22" s="279"/>
      <c r="X22" s="281"/>
      <c r="Y22" s="279"/>
      <c r="Z22"/>
      <c r="AA22" s="287">
        <f t="shared" ca="1" si="7"/>
        <v>2.1357000565942919E-2</v>
      </c>
      <c r="AB22" s="285">
        <f t="shared" ca="1" si="6"/>
        <v>1.4876165157948762E-2</v>
      </c>
      <c r="AC22" s="52"/>
      <c r="AD22" s="5">
        <f ca="1">+AD21-rate11</f>
        <v>2.870134234232706E-3</v>
      </c>
      <c r="AE22"/>
      <c r="AF22"/>
      <c r="AG22"/>
      <c r="AH22"/>
      <c r="AI22"/>
    </row>
    <row r="23" spans="1:35" x14ac:dyDescent="0.25">
      <c r="A23" s="56"/>
      <c r="B23" s="131">
        <f t="shared" ca="1" si="8"/>
        <v>45552</v>
      </c>
      <c r="C23" s="282">
        <f t="shared" ca="1" si="0"/>
        <v>4.5694444444444446</v>
      </c>
      <c r="D23" s="52">
        <f ca="1">rate10+(rate11-rate10)/(time11-time10)*(time-time10)</f>
        <v>1.4608206004241162E-2</v>
      </c>
      <c r="E23" s="279">
        <f t="shared" ca="1" si="5"/>
        <v>0.93587952481626324</v>
      </c>
      <c r="F23" s="279"/>
      <c r="G23" s="279">
        <f t="shared" ca="1" si="2"/>
        <v>-5.7902910469759741E-5</v>
      </c>
      <c r="H23" s="280"/>
      <c r="I23" s="279"/>
      <c r="J23" s="279"/>
      <c r="K23" s="279"/>
      <c r="L23" s="279"/>
      <c r="M23" s="279"/>
      <c r="N23" s="279"/>
      <c r="O23" s="279"/>
      <c r="P23" s="281"/>
      <c r="Q23" s="279"/>
      <c r="R23" s="279"/>
      <c r="S23" s="279"/>
      <c r="T23" s="279"/>
      <c r="U23" s="279"/>
      <c r="V23" s="279"/>
      <c r="W23" s="279"/>
      <c r="X23" s="281"/>
      <c r="Y23" s="279"/>
      <c r="Z23"/>
      <c r="AA23" s="287">
        <f t="shared" ca="1" si="7"/>
        <v>2.2271841647696355E-2</v>
      </c>
      <c r="AB23" s="285">
        <f t="shared" ca="1" si="6"/>
        <v>1.5313907198638788E-2</v>
      </c>
      <c r="AC23" s="52"/>
      <c r="AD23" s="5">
        <f ca="1">+(AD22/12)*10000</f>
        <v>2.3917785285272553</v>
      </c>
      <c r="AE23"/>
      <c r="AF23"/>
      <c r="AG23"/>
      <c r="AH23"/>
      <c r="AI23"/>
    </row>
    <row r="24" spans="1:35" x14ac:dyDescent="0.25">
      <c r="A24" s="5"/>
      <c r="B24" s="131">
        <f t="shared" ca="1" si="8"/>
        <v>45643</v>
      </c>
      <c r="C24" s="282">
        <f t="shared" ca="1" si="0"/>
        <v>4.822222222222222</v>
      </c>
      <c r="D24" s="52">
        <f ca="1">rate10+(rate11-rate10)/(time11-time10)*(time-time10)</f>
        <v>1.5066331565399545E-2</v>
      </c>
      <c r="E24" s="279">
        <f t="shared" ca="1" si="5"/>
        <v>0.93042730910852167</v>
      </c>
      <c r="F24" s="279"/>
      <c r="G24" s="279">
        <f t="shared" ca="1" si="2"/>
        <v>-5.9914458326830443E-5</v>
      </c>
      <c r="H24" s="280"/>
      <c r="I24" s="279"/>
      <c r="J24" s="279"/>
      <c r="K24" s="279"/>
      <c r="L24" s="279"/>
      <c r="M24" s="279"/>
      <c r="N24" s="279"/>
      <c r="O24" s="279"/>
      <c r="P24" s="281"/>
      <c r="Q24" s="279"/>
      <c r="R24" s="279"/>
      <c r="S24" s="279"/>
      <c r="T24" s="279"/>
      <c r="U24" s="279"/>
      <c r="V24" s="279"/>
      <c r="W24" s="279"/>
      <c r="X24" s="281"/>
      <c r="Y24" s="279"/>
      <c r="Z24"/>
      <c r="AA24" s="287">
        <f t="shared" ca="1" si="7"/>
        <v>2.3181297113869626E-2</v>
      </c>
      <c r="AB24" s="285">
        <f t="shared" ca="1" si="6"/>
        <v>1.5748986740076631E-2</v>
      </c>
      <c r="AC24" s="52"/>
      <c r="AD24"/>
      <c r="AE24"/>
      <c r="AF24"/>
      <c r="AG24"/>
      <c r="AH24"/>
      <c r="AI24"/>
    </row>
    <row r="25" spans="1:35" ht="15.75" thickBot="1" x14ac:dyDescent="0.3">
      <c r="A25" s="160">
        <v>11</v>
      </c>
      <c r="B25" s="276">
        <f ca="1">mat_11</f>
        <v>45733</v>
      </c>
      <c r="C25" s="277">
        <f t="shared" ca="1" si="0"/>
        <v>5.072222222222222</v>
      </c>
      <c r="D25" s="278">
        <v>1.5519422779732013E-2</v>
      </c>
      <c r="E25" s="279">
        <f t="shared" ca="1" si="5"/>
        <v>0.92485956040345974</v>
      </c>
      <c r="F25" s="279">
        <f ca="1">+(B25-B21)/360</f>
        <v>1.0138888888888888</v>
      </c>
      <c r="G25" s="279">
        <f t="shared" ca="1" si="2"/>
        <v>-6.1863874500688186E-5</v>
      </c>
      <c r="H25" s="280"/>
      <c r="I25" s="279"/>
      <c r="J25" s="279"/>
      <c r="K25" s="279"/>
      <c r="L25" s="279"/>
      <c r="M25" s="279"/>
      <c r="N25" s="279"/>
      <c r="O25" s="279"/>
      <c r="P25" s="281"/>
      <c r="Q25" s="279"/>
      <c r="R25" s="279" t="e">
        <f ca="1">coupon11_OISUSD*100*$F25+100</f>
        <v>#NAME?</v>
      </c>
      <c r="S25" s="279" t="e">
        <f ca="1">coupon12_OISUSD*100*$F25</f>
        <v>#NAME?</v>
      </c>
      <c r="T25" s="279" t="e">
        <f ca="1">coupon13_OISUSD*100*$F25</f>
        <v>#NAME?</v>
      </c>
      <c r="U25" s="279" t="e">
        <f ca="1">coupon14_OISUSD*100*$F25</f>
        <v>#NAME?</v>
      </c>
      <c r="V25" s="279" t="e">
        <f ca="1">coupon15_OISUSD*100*$F25</f>
        <v>#NAME?</v>
      </c>
      <c r="W25" s="279" t="e">
        <f ca="1">coupon16_OISUSD*100*$F25</f>
        <v>#NAME?</v>
      </c>
      <c r="X25" s="281" t="e">
        <f ca="1">coupon17_OISUSD*100*$F25</f>
        <v>#NAME?</v>
      </c>
      <c r="Y25" s="279" t="e">
        <f ca="1">coupon18_OISUSD*100*$F25</f>
        <v>#NAME?</v>
      </c>
      <c r="Z25"/>
      <c r="AA25" s="287">
        <f t="shared" ca="1" si="7"/>
        <v>2.4080407203157073E-2</v>
      </c>
      <c r="AB25" s="285">
        <f ca="1">(($E$6/E25)^(1/(4*(C25-$C$6)))-1)*4</f>
        <v>1.6180988687338527E-2</v>
      </c>
      <c r="AC25" s="52"/>
      <c r="AD25" s="5">
        <f>+rate11-rate10</f>
        <v>1.8375365914594533E-3</v>
      </c>
      <c r="AE25"/>
      <c r="AF25"/>
      <c r="AG25"/>
      <c r="AH25"/>
      <c r="AI25"/>
    </row>
    <row r="26" spans="1:35" x14ac:dyDescent="0.25">
      <c r="A26" s="5"/>
      <c r="B26" s="131">
        <f t="shared" ca="1" si="8"/>
        <v>45825</v>
      </c>
      <c r="C26" s="282">
        <f t="shared" ca="1" si="0"/>
        <v>5.3277777777777775</v>
      </c>
      <c r="D26" s="52">
        <f ca="1">rate11+(rate12-rate11)/(time12-time11)*(time-time11)</f>
        <v>1.5881828088928445E-2</v>
      </c>
      <c r="E26" s="279">
        <f t="shared" ca="1" si="5"/>
        <v>0.91947726371735305</v>
      </c>
      <c r="F26" s="279"/>
      <c r="G26" s="279">
        <f t="shared" ca="1" si="2"/>
        <v>-5.8503224848985655E-5</v>
      </c>
      <c r="H26" s="280"/>
      <c r="I26" s="279"/>
      <c r="J26" s="279"/>
      <c r="K26" s="279"/>
      <c r="L26" s="279"/>
      <c r="M26" s="279"/>
      <c r="N26" s="279"/>
      <c r="O26" s="279"/>
      <c r="P26" s="281"/>
      <c r="Q26" s="279"/>
      <c r="R26" s="279"/>
      <c r="S26" s="279"/>
      <c r="T26" s="279"/>
      <c r="U26" s="279"/>
      <c r="V26" s="279"/>
      <c r="W26" s="279"/>
      <c r="X26" s="281"/>
      <c r="Y26" s="279"/>
      <c r="Z26"/>
      <c r="AA26" s="287">
        <f t="shared" ca="1" si="7"/>
        <v>2.2904126496646526E-2</v>
      </c>
      <c r="AB26" s="285">
        <f t="shared" ca="1" si="6"/>
        <v>1.651945395804244E-2</v>
      </c>
      <c r="AC26" s="52"/>
      <c r="AD26" s="5">
        <f>+(AD25/12)*10000</f>
        <v>1.5312804928828776</v>
      </c>
      <c r="AE26"/>
      <c r="AF26"/>
      <c r="AG26"/>
      <c r="AH26"/>
      <c r="AI26"/>
    </row>
    <row r="27" spans="1:35" x14ac:dyDescent="0.25">
      <c r="A27" s="5"/>
      <c r="B27" s="131">
        <f t="shared" ca="1" si="8"/>
        <v>45917</v>
      </c>
      <c r="C27" s="282">
        <f t="shared" ca="1" si="0"/>
        <v>5.583333333333333</v>
      </c>
      <c r="D27" s="52">
        <f ca="1">rate11+(rate12-rate11)/(time12-time11)*(time-time11)</f>
        <v>1.6244233398124874E-2</v>
      </c>
      <c r="E27" s="279">
        <f t="shared" ca="1" si="5"/>
        <v>0.91396024870365011</v>
      </c>
      <c r="F27" s="279"/>
      <c r="G27" s="279">
        <f t="shared" ca="1" si="2"/>
        <v>-5.9967554496771107E-5</v>
      </c>
      <c r="H27" s="280"/>
      <c r="I27" s="279"/>
      <c r="J27" s="279"/>
      <c r="K27" s="279"/>
      <c r="L27" s="279"/>
      <c r="M27" s="279"/>
      <c r="N27" s="279"/>
      <c r="O27" s="279"/>
      <c r="P27" s="281"/>
      <c r="Q27" s="279"/>
      <c r="R27" s="279"/>
      <c r="S27" s="279"/>
      <c r="T27" s="279"/>
      <c r="U27" s="279"/>
      <c r="V27" s="279"/>
      <c r="W27" s="279"/>
      <c r="X27" s="281"/>
      <c r="Y27" s="279"/>
      <c r="Z27"/>
      <c r="AA27" s="287">
        <f t="shared" ca="1" si="7"/>
        <v>2.3619086367364872E-2</v>
      </c>
      <c r="AB27" s="285">
        <f t="shared" ca="1" si="6"/>
        <v>1.6859713202959092E-2</v>
      </c>
      <c r="AC27" s="52"/>
      <c r="AE27"/>
      <c r="AF27"/>
      <c r="AG27"/>
      <c r="AH27"/>
      <c r="AI27"/>
    </row>
    <row r="28" spans="1:35" x14ac:dyDescent="0.25">
      <c r="A28" s="5"/>
      <c r="B28" s="131">
        <f t="shared" ca="1" si="8"/>
        <v>46008</v>
      </c>
      <c r="C28" s="282">
        <f t="shared" ca="1" si="0"/>
        <v>5.8361111111111112</v>
      </c>
      <c r="D28" s="52">
        <f ca="1">rate11+(rate12-rate11)/(time12-time11)*(time-time11)</f>
        <v>1.6602699519177866E-2</v>
      </c>
      <c r="E28" s="279">
        <f t="shared" ca="1" si="5"/>
        <v>0.90837350864171851</v>
      </c>
      <c r="F28" s="279"/>
      <c r="G28" s="279">
        <f t="shared" ca="1" si="2"/>
        <v>-6.1392747933314347E-5</v>
      </c>
      <c r="H28" s="280"/>
      <c r="I28" s="279"/>
      <c r="J28" s="279"/>
      <c r="K28" s="279"/>
      <c r="L28" s="279"/>
      <c r="M28" s="279"/>
      <c r="N28" s="279"/>
      <c r="O28" s="279"/>
      <c r="P28" s="281"/>
      <c r="Q28" s="279"/>
      <c r="R28" s="279"/>
      <c r="S28" s="279"/>
      <c r="T28" s="279"/>
      <c r="U28" s="279"/>
      <c r="V28" s="279"/>
      <c r="W28" s="279"/>
      <c r="X28" s="281"/>
      <c r="Y28" s="279"/>
      <c r="Z28"/>
      <c r="AA28" s="287">
        <f t="shared" ca="1" si="7"/>
        <v>2.4329908043107196E-2</v>
      </c>
      <c r="AB28" s="285">
        <f t="shared" ca="1" si="6"/>
        <v>1.7197784376930869E-2</v>
      </c>
      <c r="AC28" s="52"/>
      <c r="AD28" s="5">
        <f ca="1">+AD26+AD23</f>
        <v>3.9230590214101326</v>
      </c>
      <c r="AE28"/>
      <c r="AF28"/>
      <c r="AG28"/>
      <c r="AH28"/>
      <c r="AI28"/>
    </row>
    <row r="29" spans="1:35" ht="15.75" thickBot="1" x14ac:dyDescent="0.3">
      <c r="A29" s="160">
        <v>12</v>
      </c>
      <c r="B29" s="276">
        <f ca="1">mat_12</f>
        <v>46098</v>
      </c>
      <c r="C29" s="277">
        <f t="shared" ca="1" si="0"/>
        <v>6.0861111111111112</v>
      </c>
      <c r="D29" s="278">
        <v>1.6957226452087418E-2</v>
      </c>
      <c r="E29" s="279">
        <f t="shared" ca="1" si="5"/>
        <v>0.90272410025033434</v>
      </c>
      <c r="F29" s="279">
        <f ca="1">+(B29-B25)/360</f>
        <v>1.0138888888888888</v>
      </c>
      <c r="G29" s="279">
        <f t="shared" ca="1" si="2"/>
        <v>-6.2771204348712999E-5</v>
      </c>
      <c r="H29" s="280"/>
      <c r="I29" s="279"/>
      <c r="J29" s="279"/>
      <c r="K29" s="279"/>
      <c r="L29" s="279"/>
      <c r="M29" s="279"/>
      <c r="N29" s="279"/>
      <c r="O29" s="279"/>
      <c r="P29" s="281"/>
      <c r="Q29" s="279"/>
      <c r="R29" s="279"/>
      <c r="S29" s="279" t="e">
        <f ca="1">coupon12_OISUSD*100*$F29+100</f>
        <v>#NAME?</v>
      </c>
      <c r="T29" s="279" t="e">
        <f ca="1">coupon13_OISUSD*100*$F29</f>
        <v>#NAME?</v>
      </c>
      <c r="U29" s="279" t="e">
        <f ca="1">coupon14_OISUSD*100*$F29</f>
        <v>#NAME?</v>
      </c>
      <c r="V29" s="279" t="e">
        <f ca="1">coupon15_OISUSD*100*$F29</f>
        <v>#NAME?</v>
      </c>
      <c r="W29" s="279" t="e">
        <f ca="1">coupon16_OISUSD*100*$F29</f>
        <v>#NAME?</v>
      </c>
      <c r="X29" s="281" t="e">
        <f ca="1">coupon17_OISUSD*100*$F29</f>
        <v>#NAME?</v>
      </c>
      <c r="Y29" s="279" t="e">
        <f ca="1">coupon18_OISUSD*100*$F29</f>
        <v>#NAME?</v>
      </c>
      <c r="Z29"/>
      <c r="AA29" s="287">
        <f t="shared" ca="1" si="7"/>
        <v>2.5032713272272744E-2</v>
      </c>
      <c r="AB29" s="285">
        <f t="shared" ca="1" si="6"/>
        <v>1.7533413859400326E-2</v>
      </c>
      <c r="AC29" s="52"/>
      <c r="AE29"/>
      <c r="AF29"/>
      <c r="AG29"/>
      <c r="AH29"/>
      <c r="AI29"/>
    </row>
    <row r="30" spans="1:35" x14ac:dyDescent="0.25">
      <c r="A30" s="5"/>
      <c r="B30" s="131">
        <f t="shared" ca="1" si="8"/>
        <v>46190</v>
      </c>
      <c r="C30" s="282">
        <f t="shared" ca="1" si="0"/>
        <v>6.3416666666666668</v>
      </c>
      <c r="D30" s="52">
        <f ca="1">rate12+(rate13-rate12)/(time13-time12)*(time-time12)</f>
        <v>1.7256842921508003E-2</v>
      </c>
      <c r="E30" s="279">
        <f t="shared" ca="1" si="5"/>
        <v>0.89717566458833664</v>
      </c>
      <c r="F30" s="279"/>
      <c r="G30" s="279">
        <f t="shared" ca="1" si="2"/>
        <v>-6.0309083282583664E-5</v>
      </c>
      <c r="H30" s="280"/>
      <c r="I30" s="279"/>
      <c r="J30" s="279"/>
      <c r="K30" s="279"/>
      <c r="L30" s="279"/>
      <c r="M30" s="279"/>
      <c r="N30" s="279"/>
      <c r="O30" s="279"/>
      <c r="P30" s="281"/>
      <c r="Q30" s="279"/>
      <c r="R30" s="279"/>
      <c r="S30" s="279"/>
      <c r="T30" s="279"/>
      <c r="U30" s="279"/>
      <c r="V30" s="279"/>
      <c r="W30" s="279"/>
      <c r="X30" s="281"/>
      <c r="Y30" s="279"/>
      <c r="Z30"/>
      <c r="AA30" s="287">
        <f t="shared" ca="1" si="7"/>
        <v>2.4197951916038463E-2</v>
      </c>
      <c r="AB30" s="285">
        <f t="shared" ca="1" si="6"/>
        <v>1.7813035414253164E-2</v>
      </c>
      <c r="AC30" s="52"/>
      <c r="AD30" s="288">
        <f ca="1">+AB25-rate11</f>
        <v>6.6156590760651363E-4</v>
      </c>
      <c r="AE30"/>
      <c r="AF30"/>
      <c r="AG30"/>
      <c r="AH30"/>
      <c r="AI30"/>
    </row>
    <row r="31" spans="1:35" x14ac:dyDescent="0.25">
      <c r="A31" s="5"/>
      <c r="B31" s="131">
        <f t="shared" ca="1" si="8"/>
        <v>46282</v>
      </c>
      <c r="C31" s="282">
        <f t="shared" ca="1" si="0"/>
        <v>6.5972222222222223</v>
      </c>
      <c r="D31" s="52">
        <f ca="1">rate12+(rate13-rate12)/(time13-time12)*(time-time12)</f>
        <v>1.7556459390928592E-2</v>
      </c>
      <c r="E31" s="279">
        <f t="shared" ca="1" si="5"/>
        <v>0.89152760175443102</v>
      </c>
      <c r="F31" s="279"/>
      <c r="G31" s="279">
        <f ca="1">(E31-E29)/(B31-B29)</f>
        <v>-6.0850535303822375E-5</v>
      </c>
      <c r="H31" s="280"/>
      <c r="I31" s="279"/>
      <c r="J31" s="279"/>
      <c r="K31" s="279"/>
      <c r="L31" s="279"/>
      <c r="M31" s="279"/>
      <c r="N31" s="279"/>
      <c r="O31" s="279"/>
      <c r="P31" s="281"/>
      <c r="Q31" s="279"/>
      <c r="R31" s="279"/>
      <c r="S31" s="279"/>
      <c r="T31" s="279"/>
      <c r="U31" s="279"/>
      <c r="V31" s="279"/>
      <c r="W31" s="279"/>
      <c r="X31" s="281"/>
      <c r="Y31" s="279"/>
      <c r="Z31"/>
      <c r="AA31" s="287">
        <f t="shared" ca="1" si="7"/>
        <v>2.4788460558493597E-2</v>
      </c>
      <c r="AB31" s="285">
        <f t="shared" ca="1" si="6"/>
        <v>1.8093896166726076E-2</v>
      </c>
      <c r="AC31" s="52"/>
      <c r="AD31">
        <f ca="1">+(AD30/3)*10000</f>
        <v>2.205219692021712</v>
      </c>
      <c r="AF31"/>
      <c r="AG31"/>
      <c r="AH31"/>
      <c r="AI31"/>
    </row>
    <row r="32" spans="1:35" x14ac:dyDescent="0.25">
      <c r="A32" s="5"/>
      <c r="B32" s="131">
        <f t="shared" ca="1" si="8"/>
        <v>46373</v>
      </c>
      <c r="C32" s="282">
        <f t="shared" ca="1" si="0"/>
        <v>6.85</v>
      </c>
      <c r="D32" s="52">
        <f ca="1">rate12+(rate13-rate12)/(time13-time12)*(time-time12)</f>
        <v>1.7852819159594604E-2</v>
      </c>
      <c r="E32" s="279">
        <f t="shared" ca="1" si="5"/>
        <v>0.88584524972409895</v>
      </c>
      <c r="F32" s="279"/>
      <c r="G32" s="279">
        <f t="shared" ca="1" si="2"/>
        <v>-6.2443428904748047E-5</v>
      </c>
      <c r="H32" s="280"/>
      <c r="I32" s="279"/>
      <c r="J32" s="279"/>
      <c r="K32" s="279"/>
      <c r="L32" s="279"/>
      <c r="M32" s="279"/>
      <c r="N32" s="279"/>
      <c r="O32" s="279"/>
      <c r="P32" s="281"/>
      <c r="Q32" s="279"/>
      <c r="R32" s="279"/>
      <c r="S32" s="279"/>
      <c r="T32" s="279"/>
      <c r="U32" s="279"/>
      <c r="V32" s="279"/>
      <c r="W32" s="279"/>
      <c r="X32" s="281"/>
      <c r="Y32" s="279"/>
      <c r="Z32"/>
      <c r="AA32" s="287">
        <f t="shared" ca="1" si="7"/>
        <v>2.5375587691755186E-2</v>
      </c>
      <c r="AB32" s="285">
        <f t="shared" ca="1" si="6"/>
        <v>1.8372774518193857E-2</v>
      </c>
      <c r="AC32" s="52"/>
      <c r="AD32"/>
      <c r="AF32"/>
      <c r="AG32"/>
      <c r="AH32"/>
      <c r="AI32"/>
    </row>
    <row r="33" spans="1:35" ht="15.75" thickBot="1" x14ac:dyDescent="0.3">
      <c r="A33" s="160">
        <v>13</v>
      </c>
      <c r="B33" s="276">
        <f ca="1">mat_13</f>
        <v>46463</v>
      </c>
      <c r="C33" s="277">
        <f t="shared" ca="1" si="0"/>
        <v>7.1</v>
      </c>
      <c r="D33" s="278">
        <v>1.8145922227506047E-2</v>
      </c>
      <c r="E33" s="279">
        <f t="shared" ca="1" si="5"/>
        <v>0.88013403159660075</v>
      </c>
      <c r="F33" s="279">
        <f ca="1">+(B33-B29)/360</f>
        <v>1.0138888888888888</v>
      </c>
      <c r="G33" s="279">
        <f t="shared" ca="1" si="2"/>
        <v>-6.3457979194424409E-5</v>
      </c>
      <c r="H33" s="280"/>
      <c r="I33" s="279"/>
      <c r="J33" s="279"/>
      <c r="K33" s="279"/>
      <c r="L33" s="279"/>
      <c r="M33" s="279"/>
      <c r="N33" s="279"/>
      <c r="O33" s="279"/>
      <c r="P33" s="281"/>
      <c r="Q33" s="279"/>
      <c r="R33" s="279"/>
      <c r="S33" s="279"/>
      <c r="T33" s="279" t="e">
        <f ca="1">coupon13_OISUSD*100*$F33+100</f>
        <v>#NAME?</v>
      </c>
      <c r="U33" s="279" t="e">
        <f ca="1">coupon14_OISUSD*100*$F33</f>
        <v>#NAME?</v>
      </c>
      <c r="V33" s="279" t="e">
        <f ca="1">coupon15_OISUSD*100*$F33</f>
        <v>#NAME?</v>
      </c>
      <c r="W33" s="279" t="e">
        <f ca="1">coupon16_OISUSD*100*$F33</f>
        <v>#NAME?</v>
      </c>
      <c r="X33" s="281" t="e">
        <f ca="1">coupon17_OISUSD*100*$F33</f>
        <v>#NAME?</v>
      </c>
      <c r="Y33" s="279" t="e">
        <f ca="1">coupon18_OISUSD*100*$F33</f>
        <v>#NAME?</v>
      </c>
      <c r="Z33"/>
      <c r="AA33" s="287">
        <f t="shared" ca="1" si="7"/>
        <v>2.5956129055197508E-2</v>
      </c>
      <c r="AB33" s="285">
        <f t="shared" ca="1" si="6"/>
        <v>1.8649512423056791E-2</v>
      </c>
      <c r="AC33" s="52"/>
      <c r="AD33" s="288">
        <f ca="1">+rate11-D24</f>
        <v>4.5309121433246766E-4</v>
      </c>
      <c r="AF33"/>
      <c r="AG33"/>
      <c r="AH33"/>
      <c r="AI33"/>
    </row>
    <row r="34" spans="1:35" x14ac:dyDescent="0.25">
      <c r="A34" s="5"/>
      <c r="B34" s="131">
        <f t="shared" ca="1" si="8"/>
        <v>46555</v>
      </c>
      <c r="C34" s="282">
        <f t="shared" ca="1" si="0"/>
        <v>7.3555555555555552</v>
      </c>
      <c r="D34" s="52">
        <f ca="1">rate13+(rate14-rate13)/(time14-time13)*(time-time13)</f>
        <v>1.8372302499833744E-2</v>
      </c>
      <c r="E34" s="279">
        <f t="shared" ca="1" si="5"/>
        <v>0.87466695532393912</v>
      </c>
      <c r="F34" s="279"/>
      <c r="G34" s="279">
        <f t="shared" ca="1" si="2"/>
        <v>-5.9424742094148161E-5</v>
      </c>
      <c r="H34" s="280"/>
      <c r="I34" s="279"/>
      <c r="J34" s="279"/>
      <c r="K34" s="279"/>
      <c r="L34" s="279"/>
      <c r="M34" s="279"/>
      <c r="N34" s="279"/>
      <c r="O34" s="279"/>
      <c r="P34" s="281"/>
      <c r="Q34" s="279"/>
      <c r="R34" s="279"/>
      <c r="S34" s="279"/>
      <c r="T34" s="279"/>
      <c r="U34" s="279"/>
      <c r="V34" s="279"/>
      <c r="W34" s="279"/>
      <c r="X34" s="281"/>
      <c r="Y34" s="279"/>
      <c r="Z34"/>
      <c r="AA34" s="287">
        <f t="shared" ca="1" si="7"/>
        <v>2.445668797372047E-2</v>
      </c>
      <c r="AB34" s="285">
        <f t="shared" ca="1" si="6"/>
        <v>1.8858388940471649E-2</v>
      </c>
      <c r="AC34" s="52"/>
      <c r="AD34">
        <f ca="1">+(AD33/3)*10000</f>
        <v>1.5103040477748921</v>
      </c>
      <c r="AF34"/>
      <c r="AG34"/>
      <c r="AH34"/>
      <c r="AI34"/>
    </row>
    <row r="35" spans="1:35" x14ac:dyDescent="0.25">
      <c r="A35" s="5"/>
      <c r="B35" s="131">
        <f t="shared" ca="1" si="8"/>
        <v>46647</v>
      </c>
      <c r="C35" s="282">
        <f t="shared" ca="1" si="0"/>
        <v>7.6111111111111107</v>
      </c>
      <c r="D35" s="289">
        <f ca="1">rate13+(rate14-rate13)/(time14-time13)*(time-time13)</f>
        <v>1.8598682772161441E-2</v>
      </c>
      <c r="E35" s="279">
        <f t="shared" ca="1" si="5"/>
        <v>0.86913539943386964</v>
      </c>
      <c r="F35" s="279"/>
      <c r="G35" s="279">
        <f t="shared" ca="1" si="2"/>
        <v>-6.0125607500755258E-5</v>
      </c>
      <c r="H35" s="280"/>
      <c r="I35" s="279"/>
      <c r="J35" s="279"/>
      <c r="K35" s="279"/>
      <c r="L35" s="279"/>
      <c r="M35" s="279"/>
      <c r="N35" s="279"/>
      <c r="O35" s="279"/>
      <c r="P35" s="281"/>
      <c r="Q35" s="279"/>
      <c r="R35" s="279"/>
      <c r="S35" s="279"/>
      <c r="T35" s="279"/>
      <c r="U35" s="279"/>
      <c r="V35" s="279"/>
      <c r="W35" s="279"/>
      <c r="X35" s="281"/>
      <c r="Y35" s="279"/>
      <c r="Z35"/>
      <c r="AA35" s="287">
        <f t="shared" ca="1" si="7"/>
        <v>2.4902592349643093E-2</v>
      </c>
      <c r="AB35" s="285">
        <f t="shared" ca="1" si="6"/>
        <v>1.9068231647285216E-2</v>
      </c>
      <c r="AC35" s="52"/>
      <c r="AD35" s="5">
        <f ca="1">+AD34+AD31</f>
        <v>3.7155237397966041</v>
      </c>
      <c r="AF35"/>
      <c r="AG35"/>
      <c r="AH35"/>
      <c r="AI35"/>
    </row>
    <row r="36" spans="1:35" x14ac:dyDescent="0.25">
      <c r="A36" s="5"/>
      <c r="B36" s="131">
        <f t="shared" ca="1" si="8"/>
        <v>46738</v>
      </c>
      <c r="C36" s="282">
        <f t="shared" ref="C36:C65" ca="1" si="9">(date-As_of_date)/360</f>
        <v>7.8638888888888889</v>
      </c>
      <c r="D36" s="52">
        <f ca="1">rate13+(rate14-rate13)/(time14-time13)*(time-time13)</f>
        <v>1.8822602389355139E-2</v>
      </c>
      <c r="E36" s="279">
        <f t="shared" ca="1" si="5"/>
        <v>0.86360219279534411</v>
      </c>
      <c r="F36" s="279"/>
      <c r="G36" s="279">
        <f t="shared" ca="1" si="2"/>
        <v>-6.0804468555225526E-5</v>
      </c>
      <c r="H36" s="280"/>
      <c r="I36" s="279"/>
      <c r="J36" s="279"/>
      <c r="K36" s="279"/>
      <c r="L36" s="279"/>
      <c r="M36" s="279"/>
      <c r="N36" s="279"/>
      <c r="O36" s="279"/>
      <c r="P36" s="281"/>
      <c r="Q36" s="279"/>
      <c r="R36" s="279"/>
      <c r="S36" s="279"/>
      <c r="T36" s="279"/>
      <c r="U36" s="279"/>
      <c r="V36" s="279"/>
      <c r="W36" s="279"/>
      <c r="X36" s="281"/>
      <c r="Y36" s="279"/>
      <c r="Z36"/>
      <c r="AA36" s="287">
        <f t="shared" ca="1" si="7"/>
        <v>2.5345975171984669E-2</v>
      </c>
      <c r="AB36" s="285">
        <f t="shared" ca="1" si="6"/>
        <v>1.9276644850120483E-2</v>
      </c>
      <c r="AC36" s="52"/>
      <c r="AF36"/>
      <c r="AG36"/>
      <c r="AH36"/>
      <c r="AI36"/>
    </row>
    <row r="37" spans="1:35" ht="15.75" thickBot="1" x14ac:dyDescent="0.3">
      <c r="A37" s="160">
        <v>14</v>
      </c>
      <c r="B37" s="276">
        <f ca="1">mat_14</f>
        <v>46829</v>
      </c>
      <c r="C37" s="277">
        <f t="shared" ca="1" si="0"/>
        <v>8.1166666666666671</v>
      </c>
      <c r="D37" s="278">
        <v>1.9046522006548841E-2</v>
      </c>
      <c r="E37" s="279">
        <f t="shared" ca="1" si="5"/>
        <v>0.85800919761696215</v>
      </c>
      <c r="F37" s="279">
        <f ca="1">+(B37-B33)/360</f>
        <v>1.0166666666666666</v>
      </c>
      <c r="G37" s="279">
        <f t="shared" ca="1" si="2"/>
        <v>-6.1461485476724888E-5</v>
      </c>
      <c r="H37" s="280"/>
      <c r="I37" s="279"/>
      <c r="J37" s="279"/>
      <c r="K37" s="279"/>
      <c r="L37" s="279"/>
      <c r="M37" s="279"/>
      <c r="N37" s="279"/>
      <c r="O37" s="279"/>
      <c r="P37" s="281"/>
      <c r="Q37" s="279"/>
      <c r="R37" s="279"/>
      <c r="S37" s="279"/>
      <c r="T37" s="279"/>
      <c r="U37" s="279" t="e">
        <f ca="1">coupon14_OISUSD*100*$F37+100</f>
        <v>#NAME?</v>
      </c>
      <c r="V37" s="279" t="e">
        <f ca="1">coupon15_OISUSD*100*$F37</f>
        <v>#NAME?</v>
      </c>
      <c r="W37" s="279" t="e">
        <f ca="1">coupon16_OISUSD*100*$F37</f>
        <v>#NAME?</v>
      </c>
      <c r="X37" s="281" t="e">
        <f ca="1">coupon17_OISUSD*100*$F37</f>
        <v>#NAME?</v>
      </c>
      <c r="Y37" s="279" t="e">
        <f ca="1">coupon18_OISUSD*100*$F37</f>
        <v>#NAME?</v>
      </c>
      <c r="Z37"/>
      <c r="AA37" s="287">
        <f t="shared" ca="1" si="7"/>
        <v>2.578683782324287E-2</v>
      </c>
      <c r="AB37" s="285">
        <f t="shared" ca="1" si="6"/>
        <v>1.9485819299299045E-2</v>
      </c>
      <c r="AC37" s="52"/>
      <c r="AF37"/>
      <c r="AG37"/>
      <c r="AH37"/>
      <c r="AI37"/>
    </row>
    <row r="38" spans="1:35" x14ac:dyDescent="0.25">
      <c r="A38" s="5"/>
      <c r="B38" s="131">
        <f t="shared" ca="1" si="8"/>
        <v>46921</v>
      </c>
      <c r="C38" s="282">
        <f t="shared" ca="1" si="9"/>
        <v>8.3722222222222218</v>
      </c>
      <c r="D38" s="52">
        <f ca="1">rate14+(rate15-rate14)/(time15-time14)*(time-time14)</f>
        <v>1.9251759463930953E-2</v>
      </c>
      <c r="E38" s="279">
        <f t="shared" ca="1" si="5"/>
        <v>0.8524436782334901</v>
      </c>
      <c r="F38" s="279"/>
      <c r="G38" s="279">
        <f t="shared" ca="1" si="2"/>
        <v>-6.0494775907304899E-5</v>
      </c>
      <c r="H38" s="280"/>
      <c r="I38" s="279"/>
      <c r="J38" s="279"/>
      <c r="K38" s="279"/>
      <c r="L38" s="279"/>
      <c r="M38" s="279"/>
      <c r="N38" s="279"/>
      <c r="O38" s="279"/>
      <c r="P38" s="281"/>
      <c r="Q38" s="279"/>
      <c r="R38" s="279"/>
      <c r="S38" s="279"/>
      <c r="T38" s="279"/>
      <c r="U38" s="279"/>
      <c r="V38" s="279"/>
      <c r="W38" s="279"/>
      <c r="X38" s="281"/>
      <c r="Y38" s="279"/>
      <c r="Z38"/>
      <c r="AA38" s="287">
        <f t="shared" ca="1" si="7"/>
        <v>2.5546059869288484E-2</v>
      </c>
      <c r="AB38" s="285">
        <f t="shared" ca="1" si="6"/>
        <v>1.9676488519282387E-2</v>
      </c>
      <c r="AC38" s="52"/>
      <c r="AF38"/>
      <c r="AG38"/>
      <c r="AH38"/>
      <c r="AI38"/>
    </row>
    <row r="39" spans="1:35" x14ac:dyDescent="0.25">
      <c r="A39" s="5"/>
      <c r="B39" s="131">
        <f t="shared" ca="1" si="8"/>
        <v>47013</v>
      </c>
      <c r="C39" s="282">
        <f t="shared" ca="1" si="9"/>
        <v>8.6277777777777782</v>
      </c>
      <c r="D39" s="52">
        <f ca="1">rate14+(rate15-rate14)/(time15-time14)*(time-time14)</f>
        <v>1.9456996921313065E-2</v>
      </c>
      <c r="E39" s="279">
        <f t="shared" ca="1" si="5"/>
        <v>0.84682738926897028</v>
      </c>
      <c r="F39" s="279"/>
      <c r="G39" s="279">
        <f t="shared" ca="1" si="2"/>
        <v>-6.1046619179563278E-5</v>
      </c>
      <c r="H39" s="280"/>
      <c r="I39" s="279"/>
      <c r="J39" s="279"/>
      <c r="K39" s="279"/>
      <c r="L39" s="279"/>
      <c r="M39" s="279"/>
      <c r="N39" s="279"/>
      <c r="O39" s="279"/>
      <c r="P39" s="281"/>
      <c r="Q39" s="279"/>
      <c r="R39" s="279"/>
      <c r="S39" s="279"/>
      <c r="T39" s="279"/>
      <c r="U39" s="279"/>
      <c r="V39" s="279"/>
      <c r="W39" s="279"/>
      <c r="X39" s="281"/>
      <c r="Y39" s="279"/>
      <c r="Z39"/>
      <c r="AA39" s="287">
        <f t="shared" ca="1" si="7"/>
        <v>2.5950037131186043E-2</v>
      </c>
      <c r="AB39" s="285">
        <f t="shared" ca="1" si="6"/>
        <v>1.9867838974629848E-2</v>
      </c>
      <c r="AC39" s="52"/>
      <c r="AF39"/>
      <c r="AG39"/>
      <c r="AH39"/>
      <c r="AI39"/>
    </row>
    <row r="40" spans="1:35" x14ac:dyDescent="0.25">
      <c r="A40" s="5"/>
      <c r="B40" s="131">
        <f t="shared" ca="1" si="8"/>
        <v>47104</v>
      </c>
      <c r="C40" s="282">
        <f t="shared" ca="1" si="9"/>
        <v>8.8805555555555564</v>
      </c>
      <c r="D40" s="52">
        <f ca="1">rate14+(rate15-rate14)/(time15-time14)*(time-time14)</f>
        <v>1.9660003536767109E-2</v>
      </c>
      <c r="E40" s="279">
        <f t="shared" ca="1" si="5"/>
        <v>0.84122368108918433</v>
      </c>
      <c r="F40" s="279"/>
      <c r="G40" s="279">
        <f t="shared" ca="1" si="2"/>
        <v>-6.1579210766878561E-5</v>
      </c>
      <c r="H40" s="280"/>
      <c r="I40" s="279"/>
      <c r="J40" s="279"/>
      <c r="K40" s="279"/>
      <c r="L40" s="279"/>
      <c r="M40" s="279"/>
      <c r="N40" s="279"/>
      <c r="O40" s="279"/>
      <c r="P40" s="281"/>
      <c r="Q40" s="279"/>
      <c r="R40" s="279"/>
      <c r="S40" s="279"/>
      <c r="T40" s="279"/>
      <c r="U40" s="279"/>
      <c r="V40" s="279"/>
      <c r="W40" s="279"/>
      <c r="X40" s="281"/>
      <c r="Y40" s="279"/>
      <c r="Z40"/>
      <c r="AA40" s="287">
        <f t="shared" ca="1" si="7"/>
        <v>2.6351738307578643E-2</v>
      </c>
      <c r="AB40" s="285">
        <f t="shared" ca="1" si="6"/>
        <v>2.0057717693446442E-2</v>
      </c>
      <c r="AC40" s="52"/>
      <c r="AF40"/>
      <c r="AG40"/>
      <c r="AH40"/>
      <c r="AI40"/>
    </row>
    <row r="41" spans="1:35" ht="15.75" thickBot="1" x14ac:dyDescent="0.3">
      <c r="A41" s="160">
        <v>15</v>
      </c>
      <c r="B41" s="276">
        <f ca="1">mat_15</f>
        <v>47194</v>
      </c>
      <c r="C41" s="277">
        <f t="shared" ca="1" si="9"/>
        <v>9.1305555555555564</v>
      </c>
      <c r="D41" s="278">
        <v>1.9860779310293088E-2</v>
      </c>
      <c r="E41" s="279">
        <f t="shared" ca="1" si="5"/>
        <v>0.83563558325929066</v>
      </c>
      <c r="F41" s="279">
        <f ca="1">+(B41-B37)/360</f>
        <v>1.0138888888888888</v>
      </c>
      <c r="G41" s="279">
        <f t="shared" ca="1" si="2"/>
        <v>-6.2089975887707417E-5</v>
      </c>
      <c r="H41" s="280"/>
      <c r="I41" s="279"/>
      <c r="J41" s="279"/>
      <c r="K41" s="279"/>
      <c r="L41" s="279"/>
      <c r="M41" s="279"/>
      <c r="N41" s="279"/>
      <c r="O41" s="279"/>
      <c r="P41" s="281"/>
      <c r="Q41" s="279"/>
      <c r="R41" s="279"/>
      <c r="S41" s="279"/>
      <c r="T41" s="279"/>
      <c r="U41" s="279"/>
      <c r="V41" s="279" t="e">
        <f ca="1">coupon15_OISUSD*100*$F41+100</f>
        <v>#NAME?</v>
      </c>
      <c r="W41" s="279" t="e">
        <f ca="1">coupon16_OISUSD*100*$F41</f>
        <v>#NAME?</v>
      </c>
      <c r="X41" s="281" t="e">
        <f ca="1">coupon17_OISUSD*100*$F41</f>
        <v>#NAME?</v>
      </c>
      <c r="Y41" s="279" t="e">
        <f ca="1">coupon18_OISUSD*100*$F41</f>
        <v>#NAME?</v>
      </c>
      <c r="Z41"/>
      <c r="AA41" s="287">
        <f t="shared" ca="1" si="7"/>
        <v>2.6748970205878742E-2</v>
      </c>
      <c r="AB41" s="285">
        <f t="shared" ca="1" si="6"/>
        <v>2.0246051400667042E-2</v>
      </c>
      <c r="AC41" s="52"/>
      <c r="AF41"/>
      <c r="AG41"/>
      <c r="AH41"/>
      <c r="AI41"/>
    </row>
    <row r="42" spans="1:35" x14ac:dyDescent="0.25">
      <c r="A42" s="5"/>
      <c r="B42" s="131">
        <f t="shared" ca="1" si="8"/>
        <v>47286</v>
      </c>
      <c r="C42" s="282">
        <f t="shared" ca="1" si="9"/>
        <v>9.3861111111111111</v>
      </c>
      <c r="D42" s="52">
        <f ca="1">rate15+(rate16-rate15)/(time16-time15)*(time-time15)</f>
        <v>2.0004216950499264E-2</v>
      </c>
      <c r="E42" s="279">
        <f t="shared" ca="1" si="5"/>
        <v>0.83034959781446016</v>
      </c>
      <c r="F42" s="279"/>
      <c r="G42" s="279">
        <f t="shared" ca="1" si="2"/>
        <v>-5.7456363530766294E-5</v>
      </c>
      <c r="H42" s="280"/>
      <c r="I42" s="279"/>
      <c r="J42" s="279"/>
      <c r="K42" s="279"/>
      <c r="L42" s="279"/>
      <c r="M42" s="279"/>
      <c r="N42" s="279"/>
      <c r="O42" s="279"/>
      <c r="P42" s="281"/>
      <c r="Q42" s="279"/>
      <c r="R42" s="279"/>
      <c r="S42" s="279"/>
      <c r="T42" s="279"/>
      <c r="U42" s="279"/>
      <c r="V42" s="279"/>
      <c r="W42" s="279"/>
      <c r="X42" s="281"/>
      <c r="Y42" s="279"/>
      <c r="Z42"/>
      <c r="AA42" s="287">
        <f t="shared" ca="1" si="7"/>
        <v>2.4908620129585834E-2</v>
      </c>
      <c r="AB42" s="285">
        <f t="shared" ca="1" si="6"/>
        <v>2.0376478758020511E-2</v>
      </c>
      <c r="AC42" s="52"/>
      <c r="AF42"/>
      <c r="AG42"/>
      <c r="AH42"/>
      <c r="AI42"/>
    </row>
    <row r="43" spans="1:35" x14ac:dyDescent="0.25">
      <c r="A43" s="5"/>
      <c r="B43" s="131">
        <f t="shared" ca="1" si="8"/>
        <v>47378</v>
      </c>
      <c r="C43" s="282">
        <f t="shared" ca="1" si="9"/>
        <v>9.6416666666666675</v>
      </c>
      <c r="D43" s="52">
        <f ca="1">rate15+(rate16-rate15)/(time16-time15)*(time-time15)</f>
        <v>2.014765459070544E-2</v>
      </c>
      <c r="E43" s="279">
        <f t="shared" ca="1" si="5"/>
        <v>0.8250379015672803</v>
      </c>
      <c r="F43" s="279"/>
      <c r="G43" s="279">
        <f t="shared" ca="1" si="2"/>
        <v>-5.7735828773694179E-5</v>
      </c>
      <c r="H43" s="280"/>
      <c r="I43" s="279"/>
      <c r="J43" s="279"/>
      <c r="K43" s="279"/>
      <c r="L43" s="279"/>
      <c r="M43" s="279"/>
      <c r="N43" s="279"/>
      <c r="O43" s="279"/>
      <c r="P43" s="281"/>
      <c r="Q43" s="279"/>
      <c r="R43" s="279"/>
      <c r="S43" s="279"/>
      <c r="T43" s="279"/>
      <c r="U43" s="279"/>
      <c r="V43" s="279"/>
      <c r="W43" s="279"/>
      <c r="X43" s="281"/>
      <c r="Y43" s="279"/>
      <c r="Z43"/>
      <c r="AA43" s="287">
        <f t="shared" ca="1" si="7"/>
        <v>2.519089968956667E-2</v>
      </c>
      <c r="AB43" s="285">
        <f t="shared" ca="1" si="6"/>
        <v>2.050748466091612E-2</v>
      </c>
      <c r="AC43" s="97"/>
      <c r="AE43"/>
      <c r="AF43"/>
      <c r="AG43"/>
      <c r="AH43"/>
      <c r="AI43"/>
    </row>
    <row r="44" spans="1:35" x14ac:dyDescent="0.25">
      <c r="A44" s="5"/>
      <c r="B44" s="131">
        <f t="shared" ca="1" si="8"/>
        <v>47469</v>
      </c>
      <c r="C44" s="282">
        <f t="shared" ca="1" si="9"/>
        <v>9.8944444444444439</v>
      </c>
      <c r="D44" s="52">
        <f ca="1">rate15+(rate16-rate15)/(time16-time15)*(time-time15)</f>
        <v>2.0289533126126764E-2</v>
      </c>
      <c r="E44" s="279">
        <f t="shared" ca="1" si="5"/>
        <v>0.81975956545857398</v>
      </c>
      <c r="F44" s="279"/>
      <c r="G44" s="279">
        <f ca="1">(E44-E38)/(B44-B38)</f>
        <v>-5.9642541560065912E-5</v>
      </c>
      <c r="H44" s="280"/>
      <c r="I44" s="279"/>
      <c r="J44" s="279"/>
      <c r="K44" s="279"/>
      <c r="L44" s="279"/>
      <c r="M44" s="279"/>
      <c r="N44" s="279"/>
      <c r="O44" s="279"/>
      <c r="P44" s="281"/>
      <c r="Q44" s="279"/>
      <c r="R44" s="279"/>
      <c r="S44" s="279"/>
      <c r="T44" s="279"/>
      <c r="U44" s="279"/>
      <c r="V44" s="279"/>
      <c r="W44" s="279"/>
      <c r="X44" s="281"/>
      <c r="Y44" s="279"/>
      <c r="Z44"/>
      <c r="AA44" s="287">
        <f t="shared" ca="1" si="7"/>
        <v>2.5471605808316866E-2</v>
      </c>
      <c r="AB44" s="285">
        <f t="shared" ca="1" si="6"/>
        <v>2.0637589467745521E-2</v>
      </c>
      <c r="AC44" s="97"/>
      <c r="AF44"/>
      <c r="AG44"/>
      <c r="AH44"/>
      <c r="AI44"/>
    </row>
    <row r="45" spans="1:35" ht="15.75" thickBot="1" x14ac:dyDescent="0.3">
      <c r="A45" s="160">
        <v>16</v>
      </c>
      <c r="B45" s="276">
        <f ca="1">mat_16</f>
        <v>47559</v>
      </c>
      <c r="C45" s="277">
        <f t="shared" ca="1" si="9"/>
        <v>10.144444444444444</v>
      </c>
      <c r="D45" s="278">
        <v>2.0429852556763241E-2</v>
      </c>
      <c r="E45" s="279">
        <f t="shared" ca="1" si="5"/>
        <v>0.81451627869914511</v>
      </c>
      <c r="F45" s="279">
        <f ca="1">+(B45-B41)/360</f>
        <v>1.0138888888888888</v>
      </c>
      <c r="G45" s="279">
        <f t="shared" ca="1" si="2"/>
        <v>-5.8258741771431852E-5</v>
      </c>
      <c r="H45" s="280"/>
      <c r="I45" s="279"/>
      <c r="J45" s="279"/>
      <c r="K45" s="279"/>
      <c r="L45" s="279"/>
      <c r="M45" s="279"/>
      <c r="N45" s="279"/>
      <c r="O45" s="279"/>
      <c r="P45" s="281"/>
      <c r="Q45" s="279"/>
      <c r="R45" s="279"/>
      <c r="S45" s="279"/>
      <c r="T45" s="279"/>
      <c r="U45" s="279"/>
      <c r="V45" s="279"/>
      <c r="W45" s="279" t="e">
        <f ca="1">coupon16_OISUSD*100*$F45+100</f>
        <v>#NAME?</v>
      </c>
      <c r="X45" s="281" t="e">
        <f ca="1">coupon17_OISUSD*100*$F45</f>
        <v>#NAME?</v>
      </c>
      <c r="Y45" s="279" t="e">
        <f ca="1">coupon18_OISUSD*100*$F45</f>
        <v>#NAME?</v>
      </c>
      <c r="Z45"/>
      <c r="AA45" s="287">
        <f t="shared" ca="1" si="7"/>
        <v>2.5749205493119653E-2</v>
      </c>
      <c r="AB45" s="285">
        <f t="shared" ca="1" si="6"/>
        <v>2.0766735713685591E-2</v>
      </c>
      <c r="AC45" s="97"/>
      <c r="AD45" s="290"/>
      <c r="AE45"/>
      <c r="AF45"/>
      <c r="AG45"/>
      <c r="AH45"/>
      <c r="AI45"/>
    </row>
    <row r="46" spans="1:35" x14ac:dyDescent="0.25">
      <c r="A46" s="5"/>
      <c r="B46" s="131">
        <f t="shared" ca="1" si="8"/>
        <v>47651</v>
      </c>
      <c r="C46" s="282">
        <f t="shared" ca="1" si="9"/>
        <v>10.4</v>
      </c>
      <c r="D46" s="52">
        <f t="shared" ref="D46:D52" ca="1" si="10">rate16+(rate17-rate16)/(time17-time16)*(time-time16)</f>
        <v>2.0570104257539367E-2</v>
      </c>
      <c r="E46" s="279">
        <f t="shared" ca="1" si="5"/>
        <v>0.80916006368730309</v>
      </c>
      <c r="F46" s="279"/>
      <c r="G46" s="279">
        <f t="shared" ca="1" si="2"/>
        <v>-5.8219728389587225E-5</v>
      </c>
      <c r="H46" s="280"/>
      <c r="I46" s="279"/>
      <c r="J46" s="279"/>
      <c r="K46" s="279"/>
      <c r="L46" s="279"/>
      <c r="M46" s="279"/>
      <c r="N46" s="279"/>
      <c r="O46" s="279"/>
      <c r="P46" s="281"/>
      <c r="Q46" s="279"/>
      <c r="R46" s="279"/>
      <c r="S46" s="279"/>
      <c r="T46" s="279"/>
      <c r="U46" s="279"/>
      <c r="V46" s="279"/>
      <c r="W46" s="279"/>
      <c r="X46" s="281"/>
      <c r="Y46" s="279"/>
      <c r="Z46"/>
      <c r="AA46" s="287">
        <f t="shared" ca="1" si="7"/>
        <v>2.5900434938239236E-2</v>
      </c>
      <c r="AB46" s="285">
        <f t="shared" ca="1" si="6"/>
        <v>2.0895981785847617E-2</v>
      </c>
      <c r="AC46" s="97"/>
      <c r="AD46"/>
      <c r="AE46"/>
      <c r="AF46"/>
      <c r="AG46"/>
      <c r="AH46"/>
      <c r="AI46"/>
    </row>
    <row r="47" spans="1:35" x14ac:dyDescent="0.25">
      <c r="A47" s="5"/>
      <c r="B47" s="131">
        <f t="shared" ca="1" si="8"/>
        <v>47743</v>
      </c>
      <c r="C47" s="282">
        <f t="shared" ca="1" si="9"/>
        <v>10.655555555555555</v>
      </c>
      <c r="D47" s="52">
        <f t="shared" ca="1" si="10"/>
        <v>2.0710355958315496E-2</v>
      </c>
      <c r="E47" s="279">
        <f t="shared" ca="1" si="5"/>
        <v>0.80378276955830874</v>
      </c>
      <c r="F47" s="279"/>
      <c r="G47" s="279">
        <f t="shared" ca="1" si="2"/>
        <v>-5.8448849228199434E-5</v>
      </c>
      <c r="H47" s="280"/>
      <c r="I47" s="279"/>
      <c r="J47" s="279"/>
      <c r="K47" s="279"/>
      <c r="L47" s="279"/>
      <c r="M47" s="279"/>
      <c r="N47" s="279"/>
      <c r="O47" s="279"/>
      <c r="P47" s="281"/>
      <c r="Q47" s="279"/>
      <c r="R47" s="279"/>
      <c r="S47" s="279"/>
      <c r="T47" s="279"/>
      <c r="U47" s="279"/>
      <c r="V47" s="279"/>
      <c r="W47" s="279"/>
      <c r="X47" s="281"/>
      <c r="Y47" s="279"/>
      <c r="AA47" s="287">
        <f t="shared" ca="1" si="7"/>
        <v>2.6176300249126427E-2</v>
      </c>
      <c r="AB47" s="285">
        <f t="shared" ca="1" si="6"/>
        <v>2.1025650170324539E-2</v>
      </c>
      <c r="AC47" s="7"/>
      <c r="AD47"/>
      <c r="AE47"/>
      <c r="AF47"/>
      <c r="AG47"/>
      <c r="AH47"/>
      <c r="AI47"/>
    </row>
    <row r="48" spans="1:35" x14ac:dyDescent="0.25">
      <c r="A48" s="5"/>
      <c r="B48" s="131">
        <f t="shared" ca="1" si="8"/>
        <v>47834</v>
      </c>
      <c r="C48" s="282">
        <f t="shared" ca="1" si="9"/>
        <v>10.908333333333333</v>
      </c>
      <c r="D48" s="52">
        <f t="shared" ca="1" si="10"/>
        <v>2.0849083184083184E-2</v>
      </c>
      <c r="E48" s="279">
        <f t="shared" ca="1" si="5"/>
        <v>0.79844407207785772</v>
      </c>
      <c r="F48" s="279"/>
      <c r="G48" s="279">
        <f t="shared" ca="1" si="2"/>
        <v>-5.866700527968149E-5</v>
      </c>
      <c r="H48" s="291"/>
      <c r="I48" s="292"/>
      <c r="J48" s="292"/>
      <c r="K48" s="292"/>
      <c r="L48" s="292"/>
      <c r="M48" s="292"/>
      <c r="N48" s="292"/>
      <c r="O48" s="292"/>
      <c r="P48" s="281"/>
      <c r="Q48" s="279"/>
      <c r="R48" s="279"/>
      <c r="S48" s="279"/>
      <c r="T48" s="279"/>
      <c r="U48" s="279"/>
      <c r="V48" s="279"/>
      <c r="W48" s="279"/>
      <c r="X48" s="281"/>
      <c r="Y48" s="279"/>
      <c r="AA48" s="287">
        <f t="shared" ca="1" si="7"/>
        <v>2.6450628746237825E-2</v>
      </c>
      <c r="AB48" s="285">
        <f t="shared" ca="1" si="6"/>
        <v>2.1154293774242383E-2</v>
      </c>
      <c r="AC48" s="97"/>
      <c r="AD48"/>
      <c r="AE48"/>
      <c r="AF48"/>
      <c r="AG48"/>
      <c r="AH48"/>
      <c r="AI48"/>
    </row>
    <row r="49" spans="1:35" x14ac:dyDescent="0.25">
      <c r="A49" s="5"/>
      <c r="B49" s="131">
        <f t="shared" ca="1" si="8"/>
        <v>47924</v>
      </c>
      <c r="C49" s="282">
        <f t="shared" ca="1" si="9"/>
        <v>11.158333333333333</v>
      </c>
      <c r="D49" s="52">
        <f t="shared" ca="1" si="10"/>
        <v>2.098628593484244E-2</v>
      </c>
      <c r="E49" s="279">
        <f t="shared" ca="1" si="5"/>
        <v>0.79314547912221367</v>
      </c>
      <c r="F49" s="279">
        <f ca="1">+(B49-B45)/360</f>
        <v>1.0138888888888888</v>
      </c>
      <c r="G49" s="279">
        <f t="shared" ca="1" si="2"/>
        <v>-5.8873255062711719E-5</v>
      </c>
      <c r="H49" s="275"/>
      <c r="I49" s="17"/>
      <c r="J49" s="17"/>
      <c r="K49" s="17"/>
      <c r="L49" s="17"/>
      <c r="M49" s="17"/>
      <c r="N49" s="17"/>
      <c r="O49" s="17"/>
      <c r="P49" s="281"/>
      <c r="Q49" s="279"/>
      <c r="R49" s="279"/>
      <c r="S49" s="279"/>
      <c r="T49" s="279"/>
      <c r="U49" s="279"/>
      <c r="V49" s="279"/>
      <c r="W49" s="279"/>
      <c r="X49" s="281" t="e">
        <f ca="1">coupon17_OISUSD*100*$F49</f>
        <v>#NAME?</v>
      </c>
      <c r="Y49" s="279" t="e">
        <f ca="1">coupon18_OISUSD*100*$F49</f>
        <v>#NAME?</v>
      </c>
      <c r="AA49" s="287">
        <f t="shared" ca="1" si="7"/>
        <v>2.6721922245629415E-2</v>
      </c>
      <c r="AB49" s="285">
        <f t="shared" ca="1" si="6"/>
        <v>2.1281872864015838E-2</v>
      </c>
      <c r="AC49" s="97"/>
      <c r="AD49"/>
      <c r="AE49"/>
      <c r="AF49"/>
      <c r="AG49"/>
      <c r="AH49"/>
      <c r="AI49"/>
    </row>
    <row r="50" spans="1:35" x14ac:dyDescent="0.25">
      <c r="A50" s="5"/>
      <c r="B50" s="131">
        <f t="shared" ca="1" si="8"/>
        <v>48016</v>
      </c>
      <c r="C50" s="282">
        <f t="shared" ca="1" si="9"/>
        <v>11.41388888888889</v>
      </c>
      <c r="D50" s="52">
        <f t="shared" ca="1" si="10"/>
        <v>2.1126537635618566E-2</v>
      </c>
      <c r="E50" s="279">
        <f t="shared" ca="1" si="5"/>
        <v>0.7877109385026424</v>
      </c>
      <c r="F50" s="279"/>
      <c r="G50" s="279">
        <f t="shared" ca="1" si="2"/>
        <v>-5.9071093690992075E-5</v>
      </c>
      <c r="H50" s="275"/>
      <c r="I50" s="17"/>
      <c r="J50" s="17"/>
      <c r="K50" s="17"/>
      <c r="L50" s="17"/>
      <c r="M50" s="17"/>
      <c r="N50" s="17"/>
      <c r="O50" s="17"/>
      <c r="P50" s="281"/>
      <c r="Q50" s="279"/>
      <c r="R50" s="279"/>
      <c r="S50" s="279"/>
      <c r="T50" s="279"/>
      <c r="U50" s="279"/>
      <c r="V50" s="279"/>
      <c r="W50" s="279"/>
      <c r="X50" s="281"/>
      <c r="Y50" s="279"/>
      <c r="AA50" s="287">
        <f t="shared" ca="1" si="7"/>
        <v>2.6994677487755858E-2</v>
      </c>
      <c r="AB50" s="285">
        <f t="shared" ca="1" si="6"/>
        <v>2.1412620583084241E-2</v>
      </c>
      <c r="AC50" s="97"/>
      <c r="AD50"/>
      <c r="AE50"/>
      <c r="AF50"/>
      <c r="AG50"/>
      <c r="AH50"/>
      <c r="AI50"/>
    </row>
    <row r="51" spans="1:35" x14ac:dyDescent="0.25">
      <c r="A51" s="5"/>
      <c r="B51" s="131">
        <f t="shared" ca="1" si="8"/>
        <v>48108</v>
      </c>
      <c r="C51" s="282">
        <f t="shared" ca="1" si="9"/>
        <v>11.669444444444444</v>
      </c>
      <c r="D51" s="52">
        <f t="shared" ca="1" si="10"/>
        <v>2.1266789336394691E-2</v>
      </c>
      <c r="E51" s="279">
        <f t="shared" ca="1" si="5"/>
        <v>0.78225888581441949</v>
      </c>
      <c r="F51" s="279"/>
      <c r="G51" s="279">
        <f ca="1">(E51-E49)/(B51-B49)</f>
        <v>-5.9166267977142276E-5</v>
      </c>
      <c r="H51" s="275"/>
      <c r="I51" s="17"/>
      <c r="J51" s="17"/>
      <c r="K51" s="17"/>
      <c r="L51" s="17"/>
      <c r="M51" s="17"/>
      <c r="N51" s="17"/>
      <c r="O51" s="17"/>
      <c r="P51" s="281"/>
      <c r="Q51" s="279"/>
      <c r="R51" s="279"/>
      <c r="S51" s="279"/>
      <c r="T51" s="279"/>
      <c r="U51" s="279"/>
      <c r="V51" s="279"/>
      <c r="W51" s="279"/>
      <c r="X51" s="281"/>
      <c r="Y51" s="279"/>
      <c r="AA51" s="287">
        <f t="shared" ca="1" si="7"/>
        <v>2.7270392474465055E-2</v>
      </c>
      <c r="AB51" s="285">
        <f t="shared" ca="1" si="6"/>
        <v>2.1543682073996706E-2</v>
      </c>
      <c r="AC51" s="97"/>
      <c r="AD51"/>
      <c r="AE51"/>
      <c r="AF51"/>
      <c r="AG51"/>
      <c r="AH51"/>
      <c r="AI51"/>
    </row>
    <row r="52" spans="1:35" x14ac:dyDescent="0.25">
      <c r="A52" s="5"/>
      <c r="B52" s="131">
        <f t="shared" ca="1" si="8"/>
        <v>48199</v>
      </c>
      <c r="C52" s="282">
        <f t="shared" ca="1" si="9"/>
        <v>11.922222222222222</v>
      </c>
      <c r="D52" s="52">
        <f t="shared" ca="1" si="10"/>
        <v>2.1405516562162382E-2</v>
      </c>
      <c r="E52" s="279">
        <f t="shared" ca="1" si="5"/>
        <v>0.77684974216811831</v>
      </c>
      <c r="F52" s="279"/>
      <c r="G52" s="279">
        <f t="shared" ca="1" si="2"/>
        <v>-5.9441138970342689E-5</v>
      </c>
      <c r="H52" s="275"/>
      <c r="I52" s="17"/>
      <c r="J52" s="17"/>
      <c r="K52" s="17"/>
      <c r="L52" s="17"/>
      <c r="M52" s="17"/>
      <c r="N52" s="17"/>
      <c r="O52" s="17"/>
      <c r="P52" s="281"/>
      <c r="Q52" s="279"/>
      <c r="R52" s="279"/>
      <c r="S52" s="279"/>
      <c r="T52" s="279"/>
      <c r="U52" s="279"/>
      <c r="V52" s="279"/>
      <c r="W52" s="279"/>
      <c r="X52" s="281"/>
      <c r="Y52" s="279"/>
      <c r="AA52" s="287">
        <f t="shared" ca="1" si="7"/>
        <v>2.7544571505300652E-2</v>
      </c>
      <c r="AB52" s="285">
        <f t="shared" ca="1" si="6"/>
        <v>2.1673606533658685E-2</v>
      </c>
      <c r="AC52" s="97"/>
      <c r="AD52"/>
      <c r="AE52"/>
      <c r="AF52"/>
      <c r="AG52"/>
      <c r="AH52"/>
      <c r="AI52"/>
    </row>
    <row r="53" spans="1:35" ht="15.75" thickBot="1" x14ac:dyDescent="0.3">
      <c r="A53" s="160">
        <v>17</v>
      </c>
      <c r="B53" s="276">
        <f ca="1">mat_17</f>
        <v>48290</v>
      </c>
      <c r="C53" s="277">
        <f t="shared" ca="1" si="9"/>
        <v>12.175000000000001</v>
      </c>
      <c r="D53" s="278">
        <v>2.1544243787930073E-2</v>
      </c>
      <c r="E53" s="279">
        <f t="shared" ca="1" si="5"/>
        <v>0.77142519984028335</v>
      </c>
      <c r="F53" s="279">
        <f ca="1">+(B53-B49)/360</f>
        <v>1.0166666666666666</v>
      </c>
      <c r="G53" s="279">
        <f t="shared" ca="1" si="2"/>
        <v>-5.9610355250933603E-5</v>
      </c>
      <c r="H53" s="275"/>
      <c r="I53" s="17"/>
      <c r="J53" s="17"/>
      <c r="K53" s="17"/>
      <c r="L53" s="17"/>
      <c r="M53" s="17"/>
      <c r="N53" s="17"/>
      <c r="O53" s="17"/>
      <c r="P53" s="56"/>
      <c r="Q53" s="279"/>
      <c r="R53" s="279"/>
      <c r="S53" s="279"/>
      <c r="T53" s="279"/>
      <c r="U53" s="279"/>
      <c r="V53" s="279"/>
      <c r="W53" s="279"/>
      <c r="X53" s="281" t="e">
        <f ca="1">coupon17_OISUSD*100*$F53+100</f>
        <v>#NAME?</v>
      </c>
      <c r="Y53" s="279" t="e">
        <f ca="1">coupon18_OISUSD*100*$F53</f>
        <v>#NAME?</v>
      </c>
      <c r="AA53" s="287">
        <f t="shared" ca="1" si="7"/>
        <v>2.7817215102200699E-2</v>
      </c>
      <c r="AB53" s="285">
        <f t="shared" ca="1" si="6"/>
        <v>2.1803797825430848E-2</v>
      </c>
      <c r="AC53" s="97"/>
      <c r="AD53"/>
      <c r="AE53"/>
      <c r="AF53"/>
      <c r="AG53"/>
      <c r="AH53"/>
      <c r="AI53"/>
    </row>
    <row r="54" spans="1:35" x14ac:dyDescent="0.25">
      <c r="A54" s="5"/>
      <c r="B54" s="131">
        <f t="shared" ca="1" si="8"/>
        <v>48382</v>
      </c>
      <c r="C54" s="282">
        <f t="shared" ca="1" si="9"/>
        <v>12.430555555555555</v>
      </c>
      <c r="D54" s="52">
        <f t="shared" ref="D54:D64" ca="1" si="11">rate17+(rate18-rate17)/(time18-time17)*(time-time17)</f>
        <v>2.1640817169123389E-2</v>
      </c>
      <c r="E54" s="279">
        <f t="shared" ca="1" si="5"/>
        <v>0.76633341630764396</v>
      </c>
      <c r="F54" s="279"/>
      <c r="G54" s="279">
        <f t="shared" ca="1" si="2"/>
        <v>-5.5345473180862974E-5</v>
      </c>
      <c r="H54" s="275"/>
      <c r="I54" s="17"/>
      <c r="J54" s="17"/>
      <c r="K54" s="17"/>
      <c r="L54" s="17"/>
      <c r="M54" s="17"/>
      <c r="N54" s="17"/>
      <c r="O54" s="17"/>
      <c r="P54" s="56"/>
      <c r="Q54" s="279"/>
      <c r="R54" s="279"/>
      <c r="S54" s="279"/>
      <c r="T54" s="279"/>
      <c r="U54" s="279"/>
      <c r="V54" s="279"/>
      <c r="W54" s="279"/>
      <c r="X54" s="281"/>
      <c r="Y54" s="279"/>
      <c r="AA54" s="287">
        <f t="shared" ca="1" si="7"/>
        <v>2.5997737023828904E-2</v>
      </c>
      <c r="AB54" s="285">
        <f t="shared" ca="1" si="6"/>
        <v>2.1891784498045297E-2</v>
      </c>
      <c r="AC54" s="97"/>
      <c r="AD54"/>
      <c r="AE54"/>
      <c r="AF54"/>
      <c r="AG54"/>
      <c r="AH54"/>
      <c r="AI54"/>
    </row>
    <row r="55" spans="1:35" x14ac:dyDescent="0.25">
      <c r="A55" s="5"/>
      <c r="B55" s="131">
        <f t="shared" ca="1" si="8"/>
        <v>48474</v>
      </c>
      <c r="C55" s="282">
        <f t="shared" ca="1" si="9"/>
        <v>12.686111111111112</v>
      </c>
      <c r="D55" s="52">
        <f t="shared" ca="1" si="11"/>
        <v>2.1737390550316701E-2</v>
      </c>
      <c r="E55" s="279">
        <f t="shared" ca="1" si="5"/>
        <v>0.76123854609618169</v>
      </c>
      <c r="F55" s="279"/>
      <c r="G55" s="279">
        <f t="shared" ca="1" si="2"/>
        <v>-5.537902403763332E-5</v>
      </c>
      <c r="H55" s="275"/>
      <c r="I55" s="17"/>
      <c r="J55" s="17"/>
      <c r="K55" s="17"/>
      <c r="L55" s="17"/>
      <c r="M55" s="17"/>
      <c r="N55" s="17"/>
      <c r="O55" s="17"/>
      <c r="P55" s="56"/>
      <c r="Q55" s="279"/>
      <c r="R55" s="279"/>
      <c r="S55" s="279"/>
      <c r="T55" s="279"/>
      <c r="U55" s="279"/>
      <c r="V55" s="279"/>
      <c r="W55" s="279"/>
      <c r="X55" s="281"/>
      <c r="Y55" s="279"/>
      <c r="AA55" s="287">
        <f t="shared" ca="1" si="7"/>
        <v>2.6187588243259619E-2</v>
      </c>
      <c r="AB55" s="285">
        <f t="shared" ca="1" si="6"/>
        <v>2.1980054300124507E-2</v>
      </c>
      <c r="AC55" s="97"/>
      <c r="AD55"/>
      <c r="AE55"/>
      <c r="AF55"/>
      <c r="AG55"/>
      <c r="AH55"/>
      <c r="AI55"/>
    </row>
    <row r="56" spans="1:35" x14ac:dyDescent="0.25">
      <c r="A56" s="5"/>
      <c r="B56" s="131">
        <f t="shared" ca="1" si="8"/>
        <v>48565</v>
      </c>
      <c r="C56" s="282">
        <f t="shared" ca="1" si="9"/>
        <v>12.938888888888888</v>
      </c>
      <c r="D56" s="52">
        <f t="shared" ca="1" si="11"/>
        <v>2.1832914220844872E-2</v>
      </c>
      <c r="E56" s="279">
        <f t="shared" ca="1" si="5"/>
        <v>0.75619652339335852</v>
      </c>
      <c r="F56" s="279"/>
      <c r="G56" s="279">
        <f t="shared" ca="1" si="2"/>
        <v>-5.5406842888166678E-5</v>
      </c>
      <c r="H56" s="275"/>
      <c r="I56" s="17"/>
      <c r="J56" s="17"/>
      <c r="K56" s="17"/>
      <c r="L56" s="17"/>
      <c r="M56" s="17"/>
      <c r="N56" s="17"/>
      <c r="O56" s="17"/>
      <c r="P56" s="56"/>
      <c r="Q56" s="279"/>
      <c r="R56" s="279"/>
      <c r="S56" s="279"/>
      <c r="T56" s="279"/>
      <c r="U56" s="279"/>
      <c r="V56" s="279"/>
      <c r="W56" s="279"/>
      <c r="X56" s="281"/>
      <c r="Y56" s="279"/>
      <c r="AA56" s="287">
        <f t="shared" ca="1" si="7"/>
        <v>2.6376389888368657E-2</v>
      </c>
      <c r="AB56" s="285">
        <f t="shared" ca="1" si="6"/>
        <v>2.2067626003775764E-2</v>
      </c>
      <c r="AC56" s="97"/>
      <c r="AD56"/>
      <c r="AE56"/>
      <c r="AF56"/>
      <c r="AG56"/>
      <c r="AH56"/>
      <c r="AI56"/>
    </row>
    <row r="57" spans="1:35" x14ac:dyDescent="0.25">
      <c r="A57" s="5"/>
      <c r="B57" s="131">
        <f t="shared" ca="1" si="8"/>
        <v>48655</v>
      </c>
      <c r="C57" s="282">
        <f t="shared" ca="1" si="9"/>
        <v>13.188888888888888</v>
      </c>
      <c r="D57" s="52">
        <f t="shared" ca="1" si="11"/>
        <v>2.1927388180707896E-2</v>
      </c>
      <c r="E57" s="279">
        <f t="shared" ca="1" si="5"/>
        <v>0.75120791862357217</v>
      </c>
      <c r="F57" s="279">
        <f ca="1">+(B57-B53)/360</f>
        <v>1.0138888888888888</v>
      </c>
      <c r="G57" s="279">
        <f t="shared" ca="1" si="2"/>
        <v>-5.5428941886515036E-5</v>
      </c>
      <c r="H57" s="275"/>
      <c r="I57" s="17"/>
      <c r="J57" s="17"/>
      <c r="K57" s="17"/>
      <c r="L57" s="17"/>
      <c r="M57" s="17"/>
      <c r="N57" s="17"/>
      <c r="O57" s="17"/>
      <c r="P57" s="56"/>
      <c r="Q57" s="279"/>
      <c r="R57" s="279"/>
      <c r="S57" s="279"/>
      <c r="T57" s="279"/>
      <c r="U57" s="279"/>
      <c r="V57" s="279"/>
      <c r="W57" s="279"/>
      <c r="X57" s="281"/>
      <c r="Y57" s="279" t="e">
        <f ca="1">coupon18_OISUSD*100*$F57</f>
        <v>#NAME?</v>
      </c>
      <c r="AA57" s="287">
        <f t="shared" ca="1" si="7"/>
        <v>2.6563110670754675E-2</v>
      </c>
      <c r="AB57" s="285">
        <f t="shared" ca="1" si="6"/>
        <v>2.215447567001938E-2</v>
      </c>
      <c r="AC57" s="97"/>
      <c r="AD57"/>
      <c r="AE57"/>
      <c r="AF57"/>
      <c r="AG57"/>
      <c r="AH57"/>
      <c r="AI57"/>
    </row>
    <row r="58" spans="1:35" x14ac:dyDescent="0.25">
      <c r="A58" s="5"/>
      <c r="B58" s="131">
        <f t="shared" ca="1" si="8"/>
        <v>48747</v>
      </c>
      <c r="C58" s="282">
        <f t="shared" ca="1" si="9"/>
        <v>13.444444444444445</v>
      </c>
      <c r="D58" s="52">
        <f t="shared" ca="1" si="11"/>
        <v>2.2023961561901211E-2</v>
      </c>
      <c r="E58" s="279">
        <f t="shared" ca="1" si="5"/>
        <v>0.74610690948553116</v>
      </c>
      <c r="F58" s="279"/>
      <c r="G58" s="279">
        <f t="shared" ca="1" si="2"/>
        <v>-5.5445751500445791E-5</v>
      </c>
      <c r="H58" s="275"/>
      <c r="I58" s="17"/>
      <c r="J58" s="17"/>
      <c r="K58" s="17"/>
      <c r="L58" s="17"/>
      <c r="M58" s="17"/>
      <c r="N58" s="17"/>
      <c r="O58" s="17"/>
      <c r="P58" s="56"/>
      <c r="Q58" s="279"/>
      <c r="R58" s="279"/>
      <c r="S58" s="279"/>
      <c r="T58" s="279"/>
      <c r="U58" s="279"/>
      <c r="V58" s="279"/>
      <c r="W58" s="279"/>
      <c r="X58" s="281"/>
      <c r="Y58" s="279"/>
      <c r="AA58" s="287">
        <f t="shared" ca="1" si="7"/>
        <v>2.6750845485731034E-2</v>
      </c>
      <c r="AB58" s="285">
        <f t="shared" ca="1" si="6"/>
        <v>2.2243487730999156E-2</v>
      </c>
      <c r="AC58" s="97"/>
      <c r="AD58"/>
      <c r="AE58"/>
      <c r="AF58"/>
      <c r="AG58"/>
      <c r="AH58"/>
      <c r="AI58"/>
    </row>
    <row r="59" spans="1:35" x14ac:dyDescent="0.25">
      <c r="A59" s="5"/>
      <c r="B59" s="131">
        <f t="shared" ca="1" si="8"/>
        <v>48839</v>
      </c>
      <c r="C59" s="282">
        <f t="shared" ca="1" si="9"/>
        <v>13.7</v>
      </c>
      <c r="D59" s="52">
        <f t="shared" ca="1" si="11"/>
        <v>2.2120534943094527E-2</v>
      </c>
      <c r="E59" s="279">
        <f t="shared" ca="1" si="5"/>
        <v>0.74100483876645262</v>
      </c>
      <c r="F59" s="279"/>
      <c r="G59" s="279">
        <f t="shared" ca="1" si="2"/>
        <v>-5.5457290424766661E-5</v>
      </c>
      <c r="H59" s="275"/>
      <c r="I59" s="17"/>
      <c r="J59" s="17"/>
      <c r="K59" s="17"/>
      <c r="L59" s="17"/>
      <c r="M59" s="17"/>
      <c r="N59" s="17"/>
      <c r="O59" s="17"/>
      <c r="P59" s="56"/>
      <c r="Q59" s="279"/>
      <c r="R59" s="279"/>
      <c r="S59" s="279"/>
      <c r="T59" s="279"/>
      <c r="U59" s="279"/>
      <c r="V59" s="279"/>
      <c r="W59" s="279"/>
      <c r="X59" s="281"/>
      <c r="Y59" s="279"/>
      <c r="AA59" s="287">
        <f t="shared" ca="1" si="7"/>
        <v>2.6940625532455797E-2</v>
      </c>
      <c r="AB59" s="285">
        <f t="shared" ca="1" si="6"/>
        <v>2.2332721066143257E-2</v>
      </c>
      <c r="AC59" s="97"/>
      <c r="AD59"/>
      <c r="AE59"/>
      <c r="AF59"/>
      <c r="AG59"/>
      <c r="AH59"/>
      <c r="AI59"/>
    </row>
    <row r="60" spans="1:35" x14ac:dyDescent="0.25">
      <c r="A60" s="5"/>
      <c r="B60" s="131">
        <f t="shared" ca="1" si="8"/>
        <v>48930</v>
      </c>
      <c r="C60" s="282">
        <f t="shared" ca="1" si="9"/>
        <v>13.952777777777778</v>
      </c>
      <c r="D60" s="52">
        <f t="shared" ca="1" si="11"/>
        <v>2.2216058613622695E-2</v>
      </c>
      <c r="E60" s="279">
        <f t="shared" ca="1" si="5"/>
        <v>0.73595767324545769</v>
      </c>
      <c r="F60" s="279"/>
      <c r="G60" s="279">
        <f t="shared" ca="1" si="2"/>
        <v>-5.5463357373570706E-5</v>
      </c>
      <c r="H60" s="275"/>
      <c r="I60" s="17"/>
      <c r="J60" s="17"/>
      <c r="K60" s="17"/>
      <c r="L60" s="17"/>
      <c r="M60" s="17"/>
      <c r="N60" s="17"/>
      <c r="O60" s="17"/>
      <c r="P60" s="56"/>
      <c r="Q60" s="279"/>
      <c r="R60" s="279"/>
      <c r="S60" s="279"/>
      <c r="T60" s="279"/>
      <c r="U60" s="279"/>
      <c r="V60" s="279"/>
      <c r="W60" s="279"/>
      <c r="X60" s="281"/>
      <c r="Y60" s="279"/>
      <c r="AA60" s="287">
        <f t="shared" ca="1" si="7"/>
        <v>2.7129356404963723E-2</v>
      </c>
      <c r="AB60" s="285">
        <f ca="1">(($E$6/E60)^(1/(4*(C60-$C$6)))-1)*4</f>
        <v>2.2421189644575179E-2</v>
      </c>
      <c r="AC60" s="97"/>
      <c r="AD60"/>
      <c r="AE60"/>
      <c r="AF60"/>
      <c r="AG60"/>
      <c r="AH60"/>
      <c r="AI60"/>
    </row>
    <row r="61" spans="1:35" x14ac:dyDescent="0.25">
      <c r="A61" s="5"/>
      <c r="B61" s="131">
        <f t="shared" ca="1" si="8"/>
        <v>49020</v>
      </c>
      <c r="C61" s="282">
        <f t="shared" ca="1" si="9"/>
        <v>14.202777777777778</v>
      </c>
      <c r="D61" s="52">
        <f t="shared" ca="1" si="11"/>
        <v>2.2310532573485722E-2</v>
      </c>
      <c r="E61" s="279">
        <f t="shared" ca="1" si="5"/>
        <v>0.73096590575904219</v>
      </c>
      <c r="F61" s="279">
        <f ca="1">+(B61-B57)/360</f>
        <v>1.0138888888888888</v>
      </c>
      <c r="G61" s="279">
        <f t="shared" ca="1" si="2"/>
        <v>-5.5464083182394434E-5</v>
      </c>
      <c r="H61" s="275"/>
      <c r="I61" s="17"/>
      <c r="J61" s="17"/>
      <c r="K61" s="17"/>
      <c r="L61" s="17"/>
      <c r="M61" s="17"/>
      <c r="N61" s="17"/>
      <c r="O61" s="17"/>
      <c r="P61" s="56"/>
      <c r="Q61" s="279"/>
      <c r="R61" s="279"/>
      <c r="S61" s="279"/>
      <c r="T61" s="279"/>
      <c r="U61" s="279"/>
      <c r="V61" s="279"/>
      <c r="W61" s="279"/>
      <c r="X61" s="281"/>
      <c r="Y61" s="279" t="e">
        <f ca="1">coupon18_OISUSD*100*$F61</f>
        <v>#NAME?</v>
      </c>
      <c r="AA61" s="287">
        <f t="shared" ca="1" si="7"/>
        <v>2.7316007201359405E-2</v>
      </c>
      <c r="AB61" s="285">
        <f ca="1">(($E$6/E61)^(1/(4*(C61-$C$6)))-1)*4</f>
        <v>2.250887547550029E-2</v>
      </c>
      <c r="AC61" s="97"/>
      <c r="AD61"/>
      <c r="AE61"/>
      <c r="AF61"/>
      <c r="AG61"/>
      <c r="AH61"/>
      <c r="AI61"/>
    </row>
    <row r="62" spans="1:35" x14ac:dyDescent="0.25">
      <c r="A62" s="5"/>
      <c r="B62" s="131">
        <f t="shared" ca="1" si="8"/>
        <v>49112</v>
      </c>
      <c r="C62" s="282">
        <f t="shared" ca="1" si="9"/>
        <v>14.458333333333334</v>
      </c>
      <c r="D62" s="52">
        <f t="shared" ca="1" si="11"/>
        <v>2.2407105954679034E-2</v>
      </c>
      <c r="E62" s="279">
        <f t="shared" ca="1" si="5"/>
        <v>0.72586362749214606</v>
      </c>
      <c r="F62" s="279">
        <f t="shared" ref="F62:F64" ca="1" si="12">+(B62-B61)/360</f>
        <v>0.25555555555555554</v>
      </c>
      <c r="G62" s="279">
        <f t="shared" ca="1" si="2"/>
        <v>-5.5459546379305784E-5</v>
      </c>
      <c r="H62" s="275"/>
      <c r="I62" s="17"/>
      <c r="J62" s="17"/>
      <c r="K62" s="17"/>
      <c r="L62" s="17"/>
      <c r="M62" s="17"/>
      <c r="N62" s="17"/>
      <c r="O62" s="17"/>
      <c r="P62" s="56"/>
      <c r="Q62" s="279"/>
      <c r="R62" s="279"/>
      <c r="S62" s="279"/>
      <c r="T62" s="279"/>
      <c r="U62" s="279"/>
      <c r="V62" s="279"/>
      <c r="W62" s="279"/>
      <c r="X62" s="281"/>
      <c r="Y62" s="279"/>
      <c r="AA62" s="287">
        <f t="shared" ca="1" si="7"/>
        <v>2.750367165682821E-2</v>
      </c>
      <c r="AB62" s="285">
        <f t="shared" ca="1" si="6"/>
        <v>2.2598693843444373E-2</v>
      </c>
      <c r="AC62" s="97"/>
      <c r="AD62"/>
      <c r="AE62"/>
      <c r="AF62"/>
      <c r="AG62"/>
      <c r="AH62"/>
      <c r="AI62"/>
    </row>
    <row r="63" spans="1:35" x14ac:dyDescent="0.25">
      <c r="A63" s="5"/>
      <c r="B63" s="131">
        <f t="shared" ca="1" si="8"/>
        <v>49204</v>
      </c>
      <c r="C63" s="282">
        <f t="shared" ca="1" si="9"/>
        <v>14.713888888888889</v>
      </c>
      <c r="D63" s="52">
        <f t="shared" ca="1" si="11"/>
        <v>2.2503679335872349E-2</v>
      </c>
      <c r="E63" s="279">
        <f t="shared" ca="1" si="5"/>
        <v>0.72076225928969861</v>
      </c>
      <c r="F63" s="279">
        <f t="shared" ca="1" si="12"/>
        <v>0.25555555555555554</v>
      </c>
      <c r="G63" s="279">
        <f ca="1">(E63-E54)/(B63-B54)</f>
        <v>-5.5439363768789954E-5</v>
      </c>
      <c r="H63" s="275"/>
      <c r="I63" s="17"/>
      <c r="J63" s="17"/>
      <c r="K63" s="17"/>
      <c r="L63" s="17"/>
      <c r="M63" s="17"/>
      <c r="N63" s="17"/>
      <c r="O63" s="17"/>
      <c r="P63" s="56"/>
      <c r="Q63" s="279"/>
      <c r="R63" s="279"/>
      <c r="S63" s="279"/>
      <c r="T63" s="279"/>
      <c r="U63" s="279"/>
      <c r="V63" s="279"/>
      <c r="W63" s="279"/>
      <c r="X63" s="281"/>
      <c r="Y63" s="279"/>
      <c r="AA63" s="287">
        <f t="shared" ca="1" si="7"/>
        <v>2.7693380584201677E-2</v>
      </c>
      <c r="AB63" s="285">
        <f t="shared" ca="1" si="6"/>
        <v>2.2688688051909267E-2</v>
      </c>
      <c r="AC63" s="97"/>
      <c r="AD63"/>
      <c r="AE63"/>
      <c r="AF63"/>
      <c r="AG63"/>
      <c r="AH63"/>
      <c r="AI63"/>
    </row>
    <row r="64" spans="1:35" ht="15.75" thickBot="1" x14ac:dyDescent="0.3">
      <c r="A64" s="5"/>
      <c r="B64" s="131">
        <f t="shared" ca="1" si="8"/>
        <v>49295</v>
      </c>
      <c r="C64" s="282">
        <f t="shared" ca="1" si="9"/>
        <v>14.966666666666667</v>
      </c>
      <c r="D64" s="52">
        <f t="shared" ca="1" si="11"/>
        <v>2.2599203006400521E-2</v>
      </c>
      <c r="E64" s="279">
        <f t="shared" ca="1" si="5"/>
        <v>0.71571771435924825</v>
      </c>
      <c r="F64" s="279">
        <f t="shared" ca="1" si="12"/>
        <v>0.25277777777777777</v>
      </c>
      <c r="G64" s="279">
        <f ca="1">(E64-E55)/(B64-B55)</f>
        <v>-5.544559285862782E-5</v>
      </c>
      <c r="H64" s="275"/>
      <c r="I64" s="17"/>
      <c r="J64" s="17"/>
      <c r="K64" s="17"/>
      <c r="L64" s="17"/>
      <c r="M64" s="17"/>
      <c r="N64" s="17"/>
      <c r="O64" s="17"/>
      <c r="P64" s="56"/>
      <c r="Q64" s="279"/>
      <c r="R64" s="279"/>
      <c r="S64" s="279"/>
      <c r="T64" s="279"/>
      <c r="U64" s="279"/>
      <c r="V64" s="279"/>
      <c r="W64" s="279"/>
      <c r="X64" s="281"/>
      <c r="Y64" s="279"/>
      <c r="AA64" s="293">
        <f t="shared" ca="1" si="7"/>
        <v>2.7882040737227776E-2</v>
      </c>
      <c r="AB64" s="294">
        <f t="shared" ca="1" si="6"/>
        <v>2.2777867721101686E-2</v>
      </c>
      <c r="AC64" s="97"/>
      <c r="AD64"/>
      <c r="AE64"/>
      <c r="AF64"/>
      <c r="AG64"/>
      <c r="AH64"/>
      <c r="AI64"/>
    </row>
    <row r="65" spans="1:35" ht="15.75" thickBot="1" x14ac:dyDescent="0.3">
      <c r="A65" s="160">
        <v>18</v>
      </c>
      <c r="B65" s="276">
        <f ca="1">mat_18</f>
        <v>49385</v>
      </c>
      <c r="C65" s="277">
        <f t="shared" ca="1" si="9"/>
        <v>15.216666666666667</v>
      </c>
      <c r="D65" s="278">
        <v>2.2693676966263544E-2</v>
      </c>
      <c r="E65" s="295">
        <f t="shared" ca="1" si="5"/>
        <v>0.71073040863434478</v>
      </c>
      <c r="F65" s="295">
        <f ca="1">+(B65-B61)/360</f>
        <v>1.0138888888888888</v>
      </c>
      <c r="G65" s="295">
        <f ca="1">(E65-E56)/(B65-B56)</f>
        <v>-5.5446481413431394E-5</v>
      </c>
      <c r="H65" s="275"/>
      <c r="I65" s="17"/>
      <c r="J65" s="17"/>
      <c r="K65" s="17"/>
      <c r="L65" s="17"/>
      <c r="M65" s="17"/>
      <c r="N65" s="17"/>
      <c r="O65" s="17"/>
      <c r="P65" s="56"/>
      <c r="Q65" s="295"/>
      <c r="R65" s="295"/>
      <c r="S65" s="295"/>
      <c r="T65" s="295"/>
      <c r="U65" s="295"/>
      <c r="V65" s="295"/>
      <c r="W65" s="295"/>
      <c r="X65" s="281"/>
      <c r="Y65" s="295" t="e">
        <f ca="1">coupon18_OISUSD*100*$F65+100</f>
        <v>#NAME?</v>
      </c>
      <c r="AA65"/>
      <c r="AB65"/>
      <c r="AC65"/>
      <c r="AD65"/>
      <c r="AE65"/>
      <c r="AF65"/>
      <c r="AG65"/>
      <c r="AH65"/>
      <c r="AI65"/>
    </row>
    <row r="66" spans="1:35" x14ac:dyDescent="0.25">
      <c r="A66" s="5"/>
      <c r="B66" s="131"/>
      <c r="C66" s="282"/>
      <c r="D66" s="286"/>
      <c r="E66" s="282"/>
      <c r="F66" s="282"/>
      <c r="G66" s="282"/>
      <c r="H66" s="38" t="e">
        <f ca="1">SUMPRODUCT(DF,CFLOW1)</f>
        <v>#NAME?</v>
      </c>
      <c r="I66" s="38" t="e">
        <f ca="1">SUMPRODUCT(DF,CFLOW2)</f>
        <v>#NAME?</v>
      </c>
      <c r="J66" s="38" t="e">
        <f ca="1">SUMPRODUCT(DF,CFLOW3)</f>
        <v>#NAME?</v>
      </c>
      <c r="K66" s="38" t="e">
        <f ca="1">SUMPRODUCT(DF,CFLOW4)</f>
        <v>#NAME?</v>
      </c>
      <c r="L66" s="38" t="e">
        <f ca="1">SUMPRODUCT(DF,CFLOW5)</f>
        <v>#NAME?</v>
      </c>
      <c r="M66" s="38" t="e">
        <f ca="1">SUMPRODUCT(DF,CFLOW6)</f>
        <v>#NAME?</v>
      </c>
      <c r="N66" s="38" t="e">
        <f ca="1">SUMPRODUCT(DF,CFLOW7)</f>
        <v>#NAME?</v>
      </c>
      <c r="O66" s="38" t="e">
        <f ca="1">SUMPRODUCT(DF,CFLOW8)</f>
        <v>#NAME?</v>
      </c>
      <c r="P66" s="38" t="e">
        <f ca="1">SUMPRODUCT(DF,CFLOW9)</f>
        <v>#NAME?</v>
      </c>
      <c r="Q66" s="49" t="e">
        <f ca="1">SUMPRODUCT(DF,CFLOW10)</f>
        <v>#NAME?</v>
      </c>
      <c r="R66" s="49" t="e">
        <f ca="1">SUMPRODUCT(DF,CFLOW11)</f>
        <v>#NAME?</v>
      </c>
      <c r="S66" s="49" t="e">
        <f ca="1">SUMPRODUCT(DF,CFLOW12)</f>
        <v>#NAME?</v>
      </c>
      <c r="T66" s="49" t="e">
        <f ca="1">SUMPRODUCT(DF,CFLOW13)</f>
        <v>#NAME?</v>
      </c>
      <c r="U66" s="49" t="e">
        <f ca="1">SUMPRODUCT(DF,CFLOW14)</f>
        <v>#NAME?</v>
      </c>
      <c r="V66" s="49" t="e">
        <f ca="1">SUMPRODUCT(DF,CFLOW15)</f>
        <v>#NAME?</v>
      </c>
      <c r="W66" s="49" t="e">
        <f ca="1">SUMPRODUCT(DF,CFLOW16)</f>
        <v>#NAME?</v>
      </c>
      <c r="X66" s="38" t="e">
        <f ca="1">SUMPRODUCT(DF,CFLOW17)</f>
        <v>#NAME?</v>
      </c>
      <c r="Y66" s="38" t="e">
        <f ca="1">SUMPRODUCT(DF,CFLOW18)</f>
        <v>#NAME?</v>
      </c>
      <c r="Z66" s="296" t="s">
        <v>234</v>
      </c>
      <c r="AA66"/>
      <c r="AB66"/>
      <c r="AC66"/>
      <c r="AD66"/>
      <c r="AE66"/>
      <c r="AF66"/>
      <c r="AG66"/>
      <c r="AH66"/>
      <c r="AI66"/>
    </row>
    <row r="67" spans="1:35" ht="15.75" thickBot="1" x14ac:dyDescent="0.3">
      <c r="A67" s="5"/>
      <c r="B67" s="131"/>
      <c r="C67" s="282"/>
      <c r="D67" s="286"/>
      <c r="E67" s="282"/>
      <c r="F67" s="282"/>
      <c r="G67" s="282"/>
      <c r="H67" s="92">
        <f>price1</f>
        <v>100</v>
      </c>
      <c r="I67" s="92">
        <f>price2</f>
        <v>100</v>
      </c>
      <c r="J67" s="92">
        <f>price3</f>
        <v>100</v>
      </c>
      <c r="K67" s="92">
        <f>price4</f>
        <v>100</v>
      </c>
      <c r="L67" s="92">
        <f>price5</f>
        <v>100</v>
      </c>
      <c r="M67" s="92">
        <f>price6</f>
        <v>100</v>
      </c>
      <c r="N67" s="92">
        <f>+price7</f>
        <v>100</v>
      </c>
      <c r="O67" s="92">
        <f>+price8</f>
        <v>100</v>
      </c>
      <c r="P67" s="92">
        <f>+price9</f>
        <v>100</v>
      </c>
      <c r="Q67" s="92">
        <f t="shared" ref="Q67:Y67" si="13">+price10</f>
        <v>100</v>
      </c>
      <c r="R67" s="92">
        <f t="shared" si="13"/>
        <v>100</v>
      </c>
      <c r="S67" s="92">
        <f t="shared" si="13"/>
        <v>100</v>
      </c>
      <c r="T67" s="92">
        <f t="shared" si="13"/>
        <v>100</v>
      </c>
      <c r="U67" s="92">
        <f t="shared" si="13"/>
        <v>100</v>
      </c>
      <c r="V67" s="92">
        <f t="shared" si="13"/>
        <v>100</v>
      </c>
      <c r="W67" s="92">
        <f t="shared" si="13"/>
        <v>100</v>
      </c>
      <c r="X67" s="92">
        <f t="shared" si="13"/>
        <v>100</v>
      </c>
      <c r="Y67" s="92">
        <f t="shared" si="13"/>
        <v>100</v>
      </c>
      <c r="Z67" s="296" t="s">
        <v>235</v>
      </c>
      <c r="AA67"/>
      <c r="AB67"/>
      <c r="AC67"/>
      <c r="AD67"/>
      <c r="AE67"/>
      <c r="AF67"/>
      <c r="AG67"/>
      <c r="AH67"/>
      <c r="AI67"/>
    </row>
    <row r="68" spans="1:35" ht="15.75" thickBot="1" x14ac:dyDescent="0.3">
      <c r="A68" s="5"/>
      <c r="B68" s="131"/>
      <c r="C68" s="5"/>
      <c r="D68" s="5"/>
      <c r="E68" s="5"/>
      <c r="F68" s="5"/>
      <c r="G68" s="5"/>
      <c r="H68" s="297" t="e">
        <f ca="1">+H67-H66</f>
        <v>#NAME?</v>
      </c>
      <c r="I68" s="297" t="e">
        <f t="shared" ref="I68:Y68" ca="1" si="14">+I67-I66</f>
        <v>#NAME?</v>
      </c>
      <c r="J68" s="297" t="e">
        <f t="shared" ca="1" si="14"/>
        <v>#NAME?</v>
      </c>
      <c r="K68" s="297" t="e">
        <f t="shared" ca="1" si="14"/>
        <v>#NAME?</v>
      </c>
      <c r="L68" s="297" t="e">
        <f t="shared" ca="1" si="14"/>
        <v>#NAME?</v>
      </c>
      <c r="M68" s="297" t="e">
        <f t="shared" ca="1" si="14"/>
        <v>#NAME?</v>
      </c>
      <c r="N68" s="297" t="e">
        <f t="shared" ca="1" si="14"/>
        <v>#NAME?</v>
      </c>
      <c r="O68" s="297" t="e">
        <f t="shared" ca="1" si="14"/>
        <v>#NAME?</v>
      </c>
      <c r="P68" s="297" t="e">
        <f t="shared" ca="1" si="14"/>
        <v>#NAME?</v>
      </c>
      <c r="Q68" s="297" t="e">
        <f t="shared" ca="1" si="14"/>
        <v>#NAME?</v>
      </c>
      <c r="R68" s="297" t="e">
        <f t="shared" ca="1" si="14"/>
        <v>#NAME?</v>
      </c>
      <c r="S68" s="297" t="e">
        <f t="shared" ca="1" si="14"/>
        <v>#NAME?</v>
      </c>
      <c r="T68" s="297" t="e">
        <f t="shared" ca="1" si="14"/>
        <v>#NAME?</v>
      </c>
      <c r="U68" s="297" t="e">
        <f t="shared" ca="1" si="14"/>
        <v>#NAME?</v>
      </c>
      <c r="V68" s="297" t="e">
        <f t="shared" ca="1" si="14"/>
        <v>#NAME?</v>
      </c>
      <c r="W68" s="297" t="e">
        <f t="shared" ca="1" si="14"/>
        <v>#NAME?</v>
      </c>
      <c r="X68" s="297" t="e">
        <f t="shared" ca="1" si="14"/>
        <v>#NAME?</v>
      </c>
      <c r="Y68" s="297" t="e">
        <f t="shared" ca="1" si="14"/>
        <v>#NAME?</v>
      </c>
      <c r="Z68" s="296" t="s">
        <v>236</v>
      </c>
      <c r="AA68"/>
      <c r="AB68"/>
      <c r="AC68"/>
      <c r="AD68"/>
      <c r="AE68"/>
      <c r="AF68"/>
      <c r="AG68"/>
      <c r="AH68"/>
      <c r="AI68"/>
    </row>
    <row r="69" spans="1:35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AA69"/>
      <c r="AB69"/>
      <c r="AC69"/>
      <c r="AD69"/>
      <c r="AE69"/>
      <c r="AF69"/>
      <c r="AG69"/>
      <c r="AH69"/>
      <c r="AI69"/>
    </row>
    <row r="70" spans="1:35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1:35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1:35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298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1:35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1:35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1:35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1:35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1:35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</row>
  </sheetData>
  <mergeCells count="1">
    <mergeCell ref="H1:Y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81</vt:i4>
      </vt:variant>
    </vt:vector>
  </HeadingPairs>
  <TitlesOfParts>
    <vt:vector size="84" baseType="lpstr">
      <vt:lpstr>DATOS</vt:lpstr>
      <vt:lpstr>CDS</vt:lpstr>
      <vt:lpstr>OIS</vt:lpstr>
      <vt:lpstr>As_of_date</vt:lpstr>
      <vt:lpstr>CDS!CFLOW1</vt:lpstr>
      <vt:lpstr>OIS!CFLOW1</vt:lpstr>
      <vt:lpstr>OIS!CFLOW10</vt:lpstr>
      <vt:lpstr>OIS!CFLOW11</vt:lpstr>
      <vt:lpstr>OIS!CFLOW12</vt:lpstr>
      <vt:lpstr>OIS!CFLOW13</vt:lpstr>
      <vt:lpstr>OIS!CFLOW14</vt:lpstr>
      <vt:lpstr>OIS!CFLOW15</vt:lpstr>
      <vt:lpstr>OIS!CFLOW16</vt:lpstr>
      <vt:lpstr>OIS!CFLOW17</vt:lpstr>
      <vt:lpstr>OIS!CFLOW18</vt:lpstr>
      <vt:lpstr>CDS!CFLOW2</vt:lpstr>
      <vt:lpstr>OIS!CFLOW2</vt:lpstr>
      <vt:lpstr>CDS!CFLOW3</vt:lpstr>
      <vt:lpstr>OIS!CFLOW3</vt:lpstr>
      <vt:lpstr>CDS!CFLOW4</vt:lpstr>
      <vt:lpstr>OIS!CFLOW4</vt:lpstr>
      <vt:lpstr>CDS!CFLOW5</vt:lpstr>
      <vt:lpstr>OIS!CFLOW5</vt:lpstr>
      <vt:lpstr>OIS!CFLOW6</vt:lpstr>
      <vt:lpstr>OIS!CFLOW7</vt:lpstr>
      <vt:lpstr>OIS!CFLOW8</vt:lpstr>
      <vt:lpstr>OIS!CFLOW9</vt:lpstr>
      <vt:lpstr>coupon1_IBR</vt:lpstr>
      <vt:lpstr>coupon1_LIBOR</vt:lpstr>
      <vt:lpstr>coupon11_UVR</vt:lpstr>
      <vt:lpstr>coupon13_UVR</vt:lpstr>
      <vt:lpstr>coupon15_UVR</vt:lpstr>
      <vt:lpstr>coupon2_LIBOR</vt:lpstr>
      <vt:lpstr>coupon3_IBR</vt:lpstr>
      <vt:lpstr>coupon3_LIBOR</vt:lpstr>
      <vt:lpstr>coupon4_IBR</vt:lpstr>
      <vt:lpstr>coupon4_LIBOR</vt:lpstr>
      <vt:lpstr>coupon5_IBR</vt:lpstr>
      <vt:lpstr>coupon5_LIBOR</vt:lpstr>
      <vt:lpstr>coupon6_IBR</vt:lpstr>
      <vt:lpstr>coupon6_LIBOR</vt:lpstr>
      <vt:lpstr>coupon7_IBR</vt:lpstr>
      <vt:lpstr>coupon8_LIBOR</vt:lpstr>
      <vt:lpstr>coupon9_UVR</vt:lpstr>
      <vt:lpstr>CDS!date</vt:lpstr>
      <vt:lpstr>OIS!date</vt:lpstr>
      <vt:lpstr>CDS!DF</vt:lpstr>
      <vt:lpstr>OIS!DF</vt:lpstr>
      <vt:lpstr>CDS!DI</vt:lpstr>
      <vt:lpstr>CDS!Intensity1</vt:lpstr>
      <vt:lpstr>CDS!Intensity2</vt:lpstr>
      <vt:lpstr>CDS!Intensity3</vt:lpstr>
      <vt:lpstr>CDS!Intensity4</vt:lpstr>
      <vt:lpstr>CDS!Intensity5</vt:lpstr>
      <vt:lpstr>OIS!rate1</vt:lpstr>
      <vt:lpstr>OIS!rate10</vt:lpstr>
      <vt:lpstr>OIS!rate11</vt:lpstr>
      <vt:lpstr>OIS!rate12</vt:lpstr>
      <vt:lpstr>OIS!rate13</vt:lpstr>
      <vt:lpstr>OIS!rate14</vt:lpstr>
      <vt:lpstr>OIS!rate15</vt:lpstr>
      <vt:lpstr>OIS!rate16</vt:lpstr>
      <vt:lpstr>OIS!rate17</vt:lpstr>
      <vt:lpstr>OIS!rate18</vt:lpstr>
      <vt:lpstr>OIS!rate6</vt:lpstr>
      <vt:lpstr>OIS!rate7</vt:lpstr>
      <vt:lpstr>OIS!rate8</vt:lpstr>
      <vt:lpstr>OIS!rate9</vt:lpstr>
      <vt:lpstr>OIS!time</vt:lpstr>
      <vt:lpstr>OIS!time10</vt:lpstr>
      <vt:lpstr>OIS!time11</vt:lpstr>
      <vt:lpstr>OIS!time12</vt:lpstr>
      <vt:lpstr>OIS!time13</vt:lpstr>
      <vt:lpstr>OIS!time14</vt:lpstr>
      <vt:lpstr>OIS!time15</vt:lpstr>
      <vt:lpstr>OIS!time16</vt:lpstr>
      <vt:lpstr>OIS!time17</vt:lpstr>
      <vt:lpstr>OIS!time18</vt:lpstr>
      <vt:lpstr>OIS!time6</vt:lpstr>
      <vt:lpstr>OIS!time7</vt:lpstr>
      <vt:lpstr>OIS!time8</vt:lpstr>
      <vt:lpstr>OIS!time9</vt:lpstr>
      <vt:lpstr>CDS!timeCDS</vt:lpstr>
      <vt:lpstr>USDCOP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</dc:creator>
  <cp:lastModifiedBy>Andrés</cp:lastModifiedBy>
  <dcterms:created xsi:type="dcterms:W3CDTF">2020-03-17T12:17:37Z</dcterms:created>
  <dcterms:modified xsi:type="dcterms:W3CDTF">2020-03-17T12:26:56Z</dcterms:modified>
</cp:coreProperties>
</file>